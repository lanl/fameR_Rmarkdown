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"/>
    </mc:Choice>
  </mc:AlternateContent>
  <xr:revisionPtr revIDLastSave="0" documentId="13_ncr:1_{0CE79CDA-F41C-4F76-8BCA-8CDF589F4EA6}" xr6:coauthVersionLast="47" xr6:coauthVersionMax="47" xr10:uidLastSave="{00000000-0000-0000-0000-000000000000}"/>
  <bookViews>
    <workbookView xWindow="-4140" yWindow="-17280" windowWidth="19908" windowHeight="16656" activeTab="3" xr2:uid="{6A028CDB-7A56-4046-A495-60D7219A018B}"/>
  </bookViews>
  <sheets>
    <sheet name="FAME_08152025" sheetId="1" r:id="rId1"/>
    <sheet name="FAME_11202025" sheetId="8" r:id="rId2"/>
    <sheet name="FAME_11262025" sheetId="9" r:id="rId3"/>
    <sheet name="Labels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E14" i="9" l="1"/>
  <c r="I44" i="9"/>
  <c r="C44" i="9"/>
  <c r="H44" i="9" s="1"/>
  <c r="I43" i="9"/>
  <c r="H43" i="9"/>
  <c r="G43" i="9"/>
  <c r="F43" i="9"/>
  <c r="E43" i="9"/>
  <c r="C43" i="9"/>
  <c r="D43" i="9" s="1"/>
  <c r="G42" i="9"/>
  <c r="F42" i="9"/>
  <c r="C42" i="9"/>
  <c r="I42" i="9" s="1"/>
  <c r="I41" i="9"/>
  <c r="H41" i="9"/>
  <c r="G41" i="9"/>
  <c r="F41" i="9"/>
  <c r="E41" i="9"/>
  <c r="D41" i="9"/>
  <c r="C41" i="9"/>
  <c r="C40" i="9"/>
  <c r="I40" i="9" s="1"/>
  <c r="G39" i="9"/>
  <c r="F39" i="9"/>
  <c r="E39" i="9"/>
  <c r="D39" i="9"/>
  <c r="C39" i="9"/>
  <c r="I39" i="9" s="1"/>
  <c r="I38" i="9"/>
  <c r="H38" i="9"/>
  <c r="G38" i="9"/>
  <c r="E38" i="9"/>
  <c r="D38" i="9"/>
  <c r="C38" i="9"/>
  <c r="F38" i="9" s="1"/>
  <c r="C37" i="9"/>
  <c r="D37" i="9" s="1"/>
  <c r="I36" i="9"/>
  <c r="C36" i="9"/>
  <c r="H36" i="9" s="1"/>
  <c r="H35" i="9"/>
  <c r="G35" i="9"/>
  <c r="F35" i="9"/>
  <c r="D35" i="9"/>
  <c r="C35" i="9"/>
  <c r="E35" i="9" s="1"/>
  <c r="C34" i="9"/>
  <c r="D34" i="9" s="1"/>
  <c r="I33" i="9"/>
  <c r="H33" i="9"/>
  <c r="C33" i="9"/>
  <c r="G33" i="9" s="1"/>
  <c r="I32" i="9"/>
  <c r="G32" i="9"/>
  <c r="F32" i="9"/>
  <c r="E32" i="9"/>
  <c r="C32" i="9"/>
  <c r="D32" i="9" s="1"/>
  <c r="C31" i="9"/>
  <c r="I31" i="9" s="1"/>
  <c r="I30" i="9"/>
  <c r="H30" i="9"/>
  <c r="G30" i="9"/>
  <c r="C30" i="9"/>
  <c r="F30" i="9" s="1"/>
  <c r="I29" i="9"/>
  <c r="H29" i="9"/>
  <c r="F29" i="9"/>
  <c r="E29" i="9"/>
  <c r="D29" i="9"/>
  <c r="C29" i="9"/>
  <c r="G29" i="9" s="1"/>
  <c r="I28" i="9"/>
  <c r="E28" i="9"/>
  <c r="C28" i="9"/>
  <c r="H28" i="9" s="1"/>
  <c r="I27" i="9"/>
  <c r="H27" i="9"/>
  <c r="G27" i="9"/>
  <c r="F27" i="9"/>
  <c r="C27" i="9"/>
  <c r="E27" i="9" s="1"/>
  <c r="C26" i="9"/>
  <c r="I26" i="9" s="1"/>
  <c r="I25" i="9"/>
  <c r="H25" i="9"/>
  <c r="G25" i="9"/>
  <c r="F25" i="9"/>
  <c r="D25" i="9"/>
  <c r="C25" i="9"/>
  <c r="E25" i="9" s="1"/>
  <c r="I24" i="9"/>
  <c r="H24" i="9"/>
  <c r="G24" i="9"/>
  <c r="F24" i="9"/>
  <c r="E24" i="9"/>
  <c r="C24" i="9"/>
  <c r="D24" i="9" s="1"/>
  <c r="G23" i="9"/>
  <c r="F23" i="9"/>
  <c r="C23" i="9"/>
  <c r="I23" i="9" s="1"/>
  <c r="I22" i="9"/>
  <c r="C22" i="9"/>
  <c r="H22" i="9" s="1"/>
  <c r="I21" i="9"/>
  <c r="H21" i="9"/>
  <c r="G21" i="9"/>
  <c r="F21" i="9"/>
  <c r="E21" i="9"/>
  <c r="D21" i="9"/>
  <c r="C21" i="9"/>
  <c r="G20" i="9"/>
  <c r="F20" i="9"/>
  <c r="E20" i="9"/>
  <c r="C20" i="9"/>
  <c r="H20" i="9" s="1"/>
  <c r="I19" i="9"/>
  <c r="H19" i="9"/>
  <c r="G19" i="9"/>
  <c r="F19" i="9"/>
  <c r="E19" i="9"/>
  <c r="D19" i="9"/>
  <c r="C19" i="9"/>
  <c r="C18" i="9"/>
  <c r="E18" i="9" s="1"/>
  <c r="G17" i="9"/>
  <c r="F17" i="9"/>
  <c r="E17" i="9"/>
  <c r="D17" i="9"/>
  <c r="C17" i="9"/>
  <c r="I17" i="9" s="1"/>
  <c r="I16" i="9"/>
  <c r="H16" i="9"/>
  <c r="G16" i="9"/>
  <c r="E16" i="9"/>
  <c r="D16" i="9"/>
  <c r="C16" i="9"/>
  <c r="F16" i="9" s="1"/>
  <c r="C15" i="9"/>
  <c r="H15" i="9" s="1"/>
  <c r="I14" i="9"/>
  <c r="C14" i="9"/>
  <c r="H14" i="9" s="1"/>
  <c r="C44" i="8"/>
  <c r="I44" i="8" s="1"/>
  <c r="C43" i="8"/>
  <c r="I43" i="8" s="1"/>
  <c r="C42" i="8"/>
  <c r="I41" i="8"/>
  <c r="D41" i="8"/>
  <c r="C41" i="8"/>
  <c r="H41" i="8" s="1"/>
  <c r="C40" i="8"/>
  <c r="F40" i="8" s="1"/>
  <c r="C39" i="8"/>
  <c r="I38" i="8"/>
  <c r="H38" i="8"/>
  <c r="C38" i="8"/>
  <c r="G38" i="8" s="1"/>
  <c r="C37" i="8"/>
  <c r="E37" i="8" s="1"/>
  <c r="C36" i="8"/>
  <c r="I36" i="8" s="1"/>
  <c r="I35" i="8"/>
  <c r="H35" i="8"/>
  <c r="G35" i="8"/>
  <c r="C35" i="8"/>
  <c r="F35" i="8" s="1"/>
  <c r="C34" i="8"/>
  <c r="H34" i="8" s="1"/>
  <c r="C33" i="8"/>
  <c r="H33" i="8" s="1"/>
  <c r="I32" i="8"/>
  <c r="H32" i="8"/>
  <c r="G32" i="8"/>
  <c r="F32" i="8"/>
  <c r="C32" i="8"/>
  <c r="E32" i="8" s="1"/>
  <c r="C31" i="8"/>
  <c r="F31" i="8" s="1"/>
  <c r="C30" i="8"/>
  <c r="F30" i="8" s="1"/>
  <c r="I29" i="8"/>
  <c r="H29" i="8"/>
  <c r="G29" i="8"/>
  <c r="F29" i="8"/>
  <c r="E29" i="8"/>
  <c r="D29" i="8"/>
  <c r="C29" i="8"/>
  <c r="C28" i="8"/>
  <c r="I28" i="8" s="1"/>
  <c r="C27" i="8"/>
  <c r="H27" i="8" s="1"/>
  <c r="I26" i="8"/>
  <c r="H26" i="8"/>
  <c r="G26" i="8"/>
  <c r="F26" i="8"/>
  <c r="E26" i="8"/>
  <c r="D26" i="8"/>
  <c r="C26" i="8"/>
  <c r="C25" i="8"/>
  <c r="I25" i="8" s="1"/>
  <c r="C24" i="8"/>
  <c r="I24" i="8" s="1"/>
  <c r="C23" i="8"/>
  <c r="E23" i="8" s="1"/>
  <c r="C22" i="8"/>
  <c r="I22" i="8" s="1"/>
  <c r="C21" i="8"/>
  <c r="I21" i="8" s="1"/>
  <c r="C20" i="8"/>
  <c r="D20" i="8" s="1"/>
  <c r="I19" i="8"/>
  <c r="C19" i="8"/>
  <c r="H19" i="8" s="1"/>
  <c r="C18" i="8"/>
  <c r="E18" i="8" s="1"/>
  <c r="C17" i="8"/>
  <c r="I16" i="8"/>
  <c r="H16" i="8"/>
  <c r="C16" i="8"/>
  <c r="G16" i="8" s="1"/>
  <c r="C15" i="8"/>
  <c r="G15" i="8" s="1"/>
  <c r="C14" i="8"/>
  <c r="F14" i="8" s="1"/>
  <c r="D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14" i="1"/>
  <c r="D26" i="9" l="1"/>
  <c r="D23" i="9"/>
  <c r="E26" i="9"/>
  <c r="D20" i="9"/>
  <c r="E23" i="9"/>
  <c r="F26" i="9"/>
  <c r="H32" i="9"/>
  <c r="I35" i="9"/>
  <c r="D42" i="9"/>
  <c r="E42" i="9"/>
  <c r="H26" i="9"/>
  <c r="D30" i="9"/>
  <c r="F36" i="9"/>
  <c r="H42" i="9"/>
  <c r="G14" i="9"/>
  <c r="H17" i="9"/>
  <c r="I20" i="9"/>
  <c r="D27" i="9"/>
  <c r="E30" i="9"/>
  <c r="F33" i="9"/>
  <c r="G36" i="9"/>
  <c r="H39" i="9"/>
  <c r="G26" i="9"/>
  <c r="D36" i="9"/>
  <c r="H23" i="9"/>
  <c r="D33" i="9"/>
  <c r="E36" i="9"/>
  <c r="F14" i="9"/>
  <c r="E33" i="9"/>
  <c r="D18" i="9"/>
  <c r="D40" i="9"/>
  <c r="D15" i="9"/>
  <c r="E40" i="9"/>
  <c r="E15" i="9"/>
  <c r="E37" i="9"/>
  <c r="F15" i="9"/>
  <c r="G18" i="9"/>
  <c r="D31" i="9"/>
  <c r="E34" i="9"/>
  <c r="F37" i="9"/>
  <c r="G40" i="9"/>
  <c r="G15" i="9"/>
  <c r="H18" i="9"/>
  <c r="D28" i="9"/>
  <c r="E31" i="9"/>
  <c r="F34" i="9"/>
  <c r="G37" i="9"/>
  <c r="H40" i="9"/>
  <c r="F18" i="9"/>
  <c r="F40" i="9"/>
  <c r="I18" i="9"/>
  <c r="F31" i="9"/>
  <c r="G34" i="9"/>
  <c r="H37" i="9"/>
  <c r="I15" i="9"/>
  <c r="D22" i="9"/>
  <c r="F28" i="9"/>
  <c r="G31" i="9"/>
  <c r="H34" i="9"/>
  <c r="I37" i="9"/>
  <c r="D44" i="9"/>
  <c r="E22" i="9"/>
  <c r="G28" i="9"/>
  <c r="H31" i="9"/>
  <c r="I34" i="9"/>
  <c r="E44" i="9"/>
  <c r="F22" i="9"/>
  <c r="F44" i="9"/>
  <c r="G44" i="9"/>
  <c r="G22" i="9"/>
  <c r="I39" i="8"/>
  <c r="E39" i="8"/>
  <c r="H39" i="8"/>
  <c r="F39" i="8"/>
  <c r="D39" i="8"/>
  <c r="G39" i="8"/>
  <c r="H42" i="8"/>
  <c r="F42" i="8"/>
  <c r="I42" i="8"/>
  <c r="G42" i="8"/>
  <c r="E42" i="8"/>
  <c r="I17" i="8"/>
  <c r="H17" i="8"/>
  <c r="F17" i="8"/>
  <c r="G17" i="8"/>
  <c r="E17" i="8"/>
  <c r="D17" i="8"/>
  <c r="I20" i="8"/>
  <c r="H20" i="8"/>
  <c r="G20" i="8"/>
  <c r="F20" i="8"/>
  <c r="E20" i="8"/>
  <c r="H23" i="8"/>
  <c r="F23" i="8"/>
  <c r="I23" i="8"/>
  <c r="G23" i="8"/>
  <c r="D23" i="8"/>
  <c r="D42" i="8"/>
  <c r="D36" i="8"/>
  <c r="G14" i="8"/>
  <c r="D27" i="8"/>
  <c r="D24" i="8"/>
  <c r="H36" i="8"/>
  <c r="D18" i="8"/>
  <c r="F37" i="8"/>
  <c r="D14" i="8"/>
  <c r="E14" i="8"/>
  <c r="D33" i="8"/>
  <c r="D30" i="8"/>
  <c r="F33" i="8"/>
  <c r="H14" i="8"/>
  <c r="E27" i="8"/>
  <c r="G33" i="8"/>
  <c r="I14" i="8"/>
  <c r="E24" i="8"/>
  <c r="F27" i="8"/>
  <c r="G30" i="8"/>
  <c r="D43" i="8"/>
  <c r="E21" i="8"/>
  <c r="F24" i="8"/>
  <c r="H30" i="8"/>
  <c r="E43" i="8"/>
  <c r="D15" i="8"/>
  <c r="F21" i="8"/>
  <c r="G24" i="8"/>
  <c r="I30" i="8"/>
  <c r="D37" i="8"/>
  <c r="F43" i="8"/>
  <c r="E15" i="8"/>
  <c r="F18" i="8"/>
  <c r="H24" i="8"/>
  <c r="I27" i="8"/>
  <c r="D34" i="8"/>
  <c r="G43" i="8"/>
  <c r="F15" i="8"/>
  <c r="G18" i="8"/>
  <c r="H21" i="8"/>
  <c r="D31" i="8"/>
  <c r="E34" i="8"/>
  <c r="H43" i="8"/>
  <c r="H18" i="8"/>
  <c r="D28" i="8"/>
  <c r="E31" i="8"/>
  <c r="G37" i="8"/>
  <c r="H40" i="8"/>
  <c r="H15" i="8"/>
  <c r="I18" i="8"/>
  <c r="D25" i="8"/>
  <c r="E28" i="8"/>
  <c r="G34" i="8"/>
  <c r="H37" i="8"/>
  <c r="D22" i="8"/>
  <c r="F28" i="8"/>
  <c r="G31" i="8"/>
  <c r="I37" i="8"/>
  <c r="D44" i="8"/>
  <c r="D19" i="8"/>
  <c r="E22" i="8"/>
  <c r="F25" i="8"/>
  <c r="G28" i="8"/>
  <c r="H31" i="8"/>
  <c r="I34" i="8"/>
  <c r="E44" i="8"/>
  <c r="D16" i="8"/>
  <c r="E19" i="8"/>
  <c r="G25" i="8"/>
  <c r="H28" i="8"/>
  <c r="I31" i="8"/>
  <c r="D38" i="8"/>
  <c r="F44" i="8"/>
  <c r="E16" i="8"/>
  <c r="F19" i="8"/>
  <c r="G22" i="8"/>
  <c r="H25" i="8"/>
  <c r="D35" i="8"/>
  <c r="E38" i="8"/>
  <c r="F41" i="8"/>
  <c r="G44" i="8"/>
  <c r="E36" i="8"/>
  <c r="F36" i="8"/>
  <c r="E30" i="8"/>
  <c r="G36" i="8"/>
  <c r="D21" i="8"/>
  <c r="G27" i="8"/>
  <c r="I33" i="8"/>
  <c r="D40" i="8"/>
  <c r="E40" i="8"/>
  <c r="G21" i="8"/>
  <c r="G40" i="8"/>
  <c r="F34" i="8"/>
  <c r="I40" i="8"/>
  <c r="I15" i="8"/>
  <c r="E25" i="8"/>
  <c r="F22" i="8"/>
  <c r="E41" i="8"/>
  <c r="F16" i="8"/>
  <c r="G19" i="8"/>
  <c r="H22" i="8"/>
  <c r="D32" i="8"/>
  <c r="E35" i="8"/>
  <c r="F38" i="8"/>
  <c r="G41" i="8"/>
  <c r="H44" i="8"/>
  <c r="E33" i="8"/>
  <c r="D29" i="1"/>
  <c r="D32" i="1"/>
  <c r="D31" i="1"/>
  <c r="D30" i="1"/>
  <c r="E41" i="1"/>
  <c r="F19" i="1"/>
  <c r="H18" i="1"/>
  <c r="H39" i="1"/>
  <c r="I38" i="1"/>
  <c r="E16" i="1"/>
  <c r="H37" i="1"/>
  <c r="E15" i="1"/>
  <c r="D35" i="1"/>
  <c r="D33" i="1"/>
  <c r="H38" i="1"/>
  <c r="G38" i="1"/>
  <c r="I37" i="1"/>
  <c r="F38" i="1"/>
  <c r="F43" i="1"/>
  <c r="I19" i="1"/>
  <c r="I40" i="1"/>
  <c r="H19" i="1"/>
  <c r="G19" i="1"/>
  <c r="F37" i="1"/>
  <c r="E40" i="1"/>
  <c r="I25" i="1"/>
  <c r="H25" i="1"/>
  <c r="E34" i="1"/>
  <c r="G25" i="1"/>
  <c r="F25" i="1"/>
  <c r="I24" i="1"/>
  <c r="E31" i="1"/>
  <c r="H24" i="1"/>
  <c r="F30" i="1"/>
  <c r="I44" i="1"/>
  <c r="G22" i="1"/>
  <c r="F29" i="1"/>
  <c r="H44" i="1"/>
  <c r="F22" i="1"/>
  <c r="G44" i="1"/>
  <c r="F21" i="1"/>
  <c r="F44" i="1"/>
  <c r="F26" i="1"/>
  <c r="G43" i="1"/>
  <c r="I18" i="1"/>
  <c r="G24" i="1"/>
  <c r="H40" i="1"/>
  <c r="I16" i="1"/>
  <c r="G40" i="1"/>
  <c r="H16" i="1"/>
  <c r="F40" i="1"/>
  <c r="G16" i="1"/>
  <c r="E21" i="1"/>
  <c r="F16" i="1"/>
  <c r="F20" i="1"/>
  <c r="E19" i="1"/>
  <c r="E38" i="1"/>
  <c r="G37" i="1"/>
  <c r="E22" i="1"/>
  <c r="I14" i="1"/>
  <c r="E37" i="1"/>
  <c r="G21" i="1"/>
  <c r="E43" i="1"/>
  <c r="F15" i="1"/>
  <c r="I20" i="1"/>
  <c r="F18" i="1"/>
  <c r="G20" i="1"/>
  <c r="G14" i="1"/>
  <c r="E26" i="1"/>
  <c r="E25" i="1"/>
  <c r="E27" i="1"/>
  <c r="E44" i="1"/>
  <c r="I15" i="1"/>
  <c r="E23" i="1"/>
  <c r="H15" i="1"/>
  <c r="H22" i="1"/>
  <c r="I31" i="1"/>
  <c r="G15" i="1"/>
  <c r="I42" i="1"/>
  <c r="H31" i="1"/>
  <c r="F42" i="1"/>
  <c r="G41" i="1"/>
  <c r="G31" i="1"/>
  <c r="H41" i="1"/>
  <c r="F41" i="1"/>
  <c r="F31" i="1"/>
  <c r="H20" i="1"/>
  <c r="H14" i="1"/>
  <c r="H17" i="1"/>
  <c r="E33" i="1"/>
  <c r="E39" i="1"/>
  <c r="E32" i="1"/>
  <c r="E30" i="1"/>
  <c r="E17" i="1"/>
  <c r="E28" i="1"/>
  <c r="I26" i="1"/>
  <c r="E20" i="1"/>
  <c r="H26" i="1"/>
  <c r="H36" i="1"/>
  <c r="G26" i="1"/>
  <c r="E35" i="1"/>
  <c r="D34" i="1"/>
  <c r="G36" i="1"/>
  <c r="F36" i="1"/>
  <c r="I35" i="1"/>
  <c r="H35" i="1"/>
  <c r="G35" i="1"/>
  <c r="F35" i="1"/>
  <c r="I29" i="1"/>
  <c r="H34" i="1"/>
  <c r="G34" i="1"/>
  <c r="F34" i="1"/>
  <c r="E29" i="1"/>
  <c r="I28" i="1"/>
  <c r="H33" i="1"/>
  <c r="H28" i="1"/>
  <c r="F24" i="1"/>
  <c r="F14" i="1"/>
  <c r="G33" i="1"/>
  <c r="G28" i="1"/>
  <c r="E24" i="1"/>
  <c r="F28" i="1"/>
  <c r="I23" i="1"/>
  <c r="H23" i="1"/>
  <c r="I27" i="1"/>
  <c r="H27" i="1"/>
  <c r="F23" i="1"/>
  <c r="G18" i="1"/>
  <c r="E42" i="1"/>
  <c r="G27" i="1"/>
  <c r="G30" i="1"/>
  <c r="I41" i="1"/>
  <c r="I36" i="1"/>
  <c r="F32" i="1"/>
  <c r="F27" i="1"/>
  <c r="I22" i="1"/>
  <c r="E18" i="1"/>
  <c r="F17" i="1"/>
  <c r="E36" i="1"/>
  <c r="H29" i="1"/>
  <c r="G29" i="1"/>
  <c r="I33" i="1"/>
  <c r="E14" i="1"/>
  <c r="F33" i="1"/>
  <c r="H42" i="1"/>
  <c r="D36" i="1"/>
  <c r="G42" i="1"/>
  <c r="I32" i="1"/>
  <c r="G23" i="1"/>
  <c r="I34" i="1"/>
  <c r="H32" i="1"/>
  <c r="H21" i="1"/>
  <c r="G32" i="1"/>
  <c r="I39" i="1"/>
  <c r="I17" i="1"/>
  <c r="I30" i="1"/>
  <c r="I43" i="1"/>
  <c r="G39" i="1"/>
  <c r="H30" i="1"/>
  <c r="I21" i="1"/>
  <c r="G17" i="1"/>
  <c r="H43" i="1"/>
  <c r="F39" i="1"/>
  <c r="D20" i="1"/>
  <c r="D28" i="1"/>
  <c r="D27" i="1"/>
  <c r="D26" i="1"/>
  <c r="D25" i="1"/>
  <c r="D24" i="1"/>
  <c r="D23" i="1"/>
  <c r="D44" i="1"/>
  <c r="D22" i="1"/>
  <c r="D43" i="1"/>
  <c r="D21" i="1"/>
  <c r="D42" i="1"/>
  <c r="D41" i="1"/>
  <c r="D19" i="1"/>
  <c r="D18" i="1"/>
  <c r="D38" i="1"/>
  <c r="D16" i="1"/>
  <c r="D37" i="1"/>
  <c r="D15" i="1"/>
  <c r="D40" i="1"/>
  <c r="D39" i="1"/>
  <c r="D17" i="1"/>
</calcChain>
</file>

<file path=xl/sharedStrings.xml><?xml version="1.0" encoding="utf-8"?>
<sst xmlns="http://schemas.openxmlformats.org/spreadsheetml/2006/main" count="264" uniqueCount="120">
  <si>
    <t>%w in std</t>
  </si>
  <si>
    <t>FAME in elution order</t>
  </si>
  <si>
    <t>Stock real concentration</t>
  </si>
  <si>
    <t>mg/mL</t>
  </si>
  <si>
    <t>Internal std added to each std</t>
  </si>
  <si>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L</t>
    </r>
  </si>
  <si>
    <t>NA</t>
  </si>
  <si>
    <t>Analysis date</t>
  </si>
  <si>
    <t>FAME standard</t>
  </si>
  <si>
    <r>
      <t>Std. stock aliquote [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L] --&gt;</t>
    </r>
  </si>
  <si>
    <t>Std. final volume [mL] --&gt;</t>
  </si>
  <si>
    <t>Experiment ID2</t>
  </si>
  <si>
    <t>Experiment ID1</t>
  </si>
  <si>
    <t>Sequence_ID</t>
  </si>
  <si>
    <t>Experiment ID3</t>
  </si>
  <si>
    <t>Concentration in stock [mg/L]</t>
  </si>
  <si>
    <t>FAME_08152025</t>
  </si>
  <si>
    <t>MORE_N.desiccata_July2025_Dens1</t>
  </si>
  <si>
    <t>STANDARDS TABLE (Does not need correction by addition of IS - both samples and std. are diluted in the same proportion)</t>
  </si>
  <si>
    <t>MORE_N.desiccata_Oct2025_Dens2</t>
  </si>
  <si>
    <t>FAME_11202025</t>
  </si>
  <si>
    <t>FAME_11262025</t>
  </si>
  <si>
    <t>C6:0 Methylcaproate(Std)</t>
  </si>
  <si>
    <t>C4:0 Methylbutyrate(Std)</t>
  </si>
  <si>
    <t>C8:0 Methylcaprylate(Std)</t>
  </si>
  <si>
    <t>C10:0 Methylcaprate (Std)</t>
  </si>
  <si>
    <t>C22:6 +C24:1 (Std)</t>
  </si>
  <si>
    <t>C12:0 Methyllaurate (Std)</t>
  </si>
  <si>
    <t>C14:0 Methylmyristate(Std)</t>
  </si>
  <si>
    <t>C14:1 Methylmyristolate(Std)</t>
  </si>
  <si>
    <t>C15:0 Methylpentadecanoate (Std)</t>
  </si>
  <si>
    <t>C16:0 Methylpalmitate(Std)</t>
  </si>
  <si>
    <t>C16:1 Methylpalmitoleate(Std)</t>
  </si>
  <si>
    <t>C17:0 Methylheptadecanoate (Std)</t>
  </si>
  <si>
    <t>C17:1 Methyl10-heptadecanoate (Std)</t>
  </si>
  <si>
    <t>C18:0 Methylstearate (Std)</t>
  </si>
  <si>
    <t>C18:1 Methyloleate (Std)</t>
  </si>
  <si>
    <t>C18:2 Methyllinoleate (Std)</t>
  </si>
  <si>
    <t>C18:3 n3Methyl 6-9-12gammalinolenate(Std)</t>
  </si>
  <si>
    <t>C18:3 n6Methyl alphalinolenate(Std)</t>
  </si>
  <si>
    <t>C20:0 Methylarachidate(Std)</t>
  </si>
  <si>
    <t>C20:1 Methyl11-Eicosenoate(Std)</t>
  </si>
  <si>
    <t>C20:2 Methyl11-14-Eicosadienoate (Std)</t>
  </si>
  <si>
    <t>C20:3 n3Methyl 8-11-14-homogammalinolenate(Std)</t>
  </si>
  <si>
    <t>C20:3 n6Methyl 11-14-17-Eicosatrieanoate (Std)</t>
  </si>
  <si>
    <t>C20:5 Methyleicosapentanoate (Std)</t>
  </si>
  <si>
    <t>C20:4 Methylarachidonate(Std)</t>
  </si>
  <si>
    <t>C22:0 Methylbehenate(Std)</t>
  </si>
  <si>
    <t>C22:1 Methylerucate (Std)</t>
  </si>
  <si>
    <t>C22:2 Methyldocosadienoate (Std)</t>
  </si>
  <si>
    <t>C22:4 Methyldocosatetranoate (Std)</t>
  </si>
  <si>
    <t>C22:5 n3Methyldocosapentaenoate (Std)</t>
  </si>
  <si>
    <t>S1</t>
  </si>
  <si>
    <t>S2</t>
  </si>
  <si>
    <t>S3</t>
  </si>
  <si>
    <t>S4</t>
  </si>
  <si>
    <t>S5</t>
  </si>
  <si>
    <t>S6</t>
  </si>
  <si>
    <t>C24:0 Methyllignocerate(Std)</t>
  </si>
  <si>
    <t>FAME_ID</t>
  </si>
  <si>
    <t>FAME_label</t>
  </si>
  <si>
    <t>Methyl butyrate (C4:0)</t>
  </si>
  <si>
    <t>Methyl caproate (C6:0)</t>
  </si>
  <si>
    <t>Methyl caprylate (C8:0)</t>
  </si>
  <si>
    <t>Methyl caprate (C10:0)</t>
  </si>
  <si>
    <t>Methyl laurate (C12:0)</t>
  </si>
  <si>
    <t>Methyl myristate (C14:0)</t>
  </si>
  <si>
    <t>Methyl myristolate (C14:1)</t>
  </si>
  <si>
    <t>Methyl pentadecanoate (C15:0)</t>
  </si>
  <si>
    <t>Methyl palmitate (C16:0)</t>
  </si>
  <si>
    <t>Methyl heptadecanoate (C17:0)</t>
  </si>
  <si>
    <t>Methyl stearate (C18:0)</t>
  </si>
  <si>
    <t>Methyl heptadecenoate (C17:1 10Z)</t>
  </si>
  <si>
    <t>Methyl palmitoleate (C16:1 9Z)</t>
  </si>
  <si>
    <t>Methyl oleate (C18:1 9Z)</t>
  </si>
  <si>
    <t>Methyl arachidate (C20:0)</t>
  </si>
  <si>
    <t>Methyl behenate (C22:0)</t>
  </si>
  <si>
    <t>Methyl eicosenoate (C20:1 11Z)</t>
  </si>
  <si>
    <t>Methyl lignocerate (C24:0)</t>
  </si>
  <si>
    <t>Methyl erucate (C22:1 13Z)</t>
  </si>
  <si>
    <t>Methyl docosadienoate (C22:2 13Z,16Z)</t>
  </si>
  <si>
    <t>Methyl docosahexaenoate + nervonate (C22:6 + C24:1)</t>
  </si>
  <si>
    <t>Methyl linoleate (C18:2 9,12Z)</t>
  </si>
  <si>
    <t>Methyl α-linolenate (C18:3 9,12,15Z)</t>
  </si>
  <si>
    <t>Methyl γ-linolenate (C18:3 6,9,12Z)</t>
  </si>
  <si>
    <t>Methyl eicosadienoate (C20:2 11,14Z)</t>
  </si>
  <si>
    <t>Methyl eicosatrienoate (C20:3 11,14,17Z)</t>
  </si>
  <si>
    <t>Methyl eicosatrienoate (C20:3 8,11,14Z)</t>
  </si>
  <si>
    <t>Methyl arachidonate (C20:4 5,8,11,14Z)</t>
  </si>
  <si>
    <t>Methyl eicosapentaenoate (C20:5 5,8,11,14,17Z)</t>
  </si>
  <si>
    <t>Methyl docosatetraenoate (C22:4 7,10,13,16Z)</t>
  </si>
  <si>
    <t>Methyl docosapentaenoate (C22:5 7,10,13,16,19Z)</t>
  </si>
  <si>
    <t>MORE_N.desiccata_Nov2025_Dens3</t>
  </si>
  <si>
    <t>C5:1OxoMethyllevulinate(MS)</t>
  </si>
  <si>
    <t>C12:1MMethyl 10-methyldodecanoate (MS)</t>
  </si>
  <si>
    <t>C18:1 17-Octadecynoicacid, methylester (MS)</t>
  </si>
  <si>
    <t>C16:1 Methylpalmitelaidate(MS)</t>
  </si>
  <si>
    <t>C16:1 Methyl(7E)-7-hexadecenoate (MS)</t>
  </si>
  <si>
    <t>C16:2 Methyl(7E,10E)-hexadeca-7,10-dienoate(MS)</t>
  </si>
  <si>
    <t>C16:3 Methyl7,10,13-hexadecatrienoate (MS)</t>
  </si>
  <si>
    <t>C18:1 Methylelaidate (MS)</t>
  </si>
  <si>
    <t>Methyl levulinate (C5:1 oxo)</t>
  </si>
  <si>
    <t>Methyl 10-methyldodecanoate (C12:1 Me)</t>
  </si>
  <si>
    <t>Methyl octadecynoate (C18:1Δ17Y)</t>
  </si>
  <si>
    <t>Methyl palmitelaidate (C16:1 9E)</t>
  </si>
  <si>
    <t>Methyl hexadecenoate (C16:1 7E)</t>
  </si>
  <si>
    <t>Methyl hexadecadienoate (C16:2 7,10E)</t>
  </si>
  <si>
    <t>Methyl hexadecatrienoate (C16:3 7,10,13Z)</t>
  </si>
  <si>
    <t>Methyl elaidate (C18:1 9E)</t>
  </si>
  <si>
    <t>Ethyl 2-methylbutyrate (MS)</t>
  </si>
  <si>
    <t>C16:4 Methyl6,9,12,15-hexadecatetraenoate(MS)</t>
  </si>
  <si>
    <t>C16:1 Methyl(7Z)-7-hexadecenoate (MS)</t>
  </si>
  <si>
    <t>Methyl hexadecenoate (C16:1 7Z)</t>
  </si>
  <si>
    <t>C16:4 Methyl4,7,10,13-hexadecatetraenoate(MS)</t>
  </si>
  <si>
    <t>C18:4 Methyl6,9,12,15-octadecatetraenoate (MS)</t>
  </si>
  <si>
    <t>Ethyl 2-methyl butanoate</t>
  </si>
  <si>
    <t>Methyl hexadecatetraenoate (C16:4 6,9,12,15Z)</t>
  </si>
  <si>
    <t>Methyl hexadecatetraenoate (C16:4 4,7,10,13Z)</t>
  </si>
  <si>
    <t>Methyl octadecatetraenoate (C18:4 6,9,12,15Z)</t>
  </si>
  <si>
    <t>GLC-461 (NuCheckPrep)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</si>
</sst>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Aptos Narrow"/>
      <family val="1"/>
      <charset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76717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6" fillId="0" borderId="0" xfId="0" applyFont="1"/>
    <xf numFmtId="14" fontId="0" fillId="0" borderId="0" xfId="0" applyNumberFormat="1"/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left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2" borderId="0" xfId="1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6AAC1-55CE-4A09-90FE-493B132319A1}">
  <sheetPr>
    <tabColor theme="9"/>
  </sheetPr>
  <dimension ref="A1:J44"/>
  <sheetViews>
    <sheetView workbookViewId="0">
      <selection activeCell="J13" sqref="J13"/>
    </sheetView>
  </sheetViews>
  <sheetFormatPr defaultRowHeight="14.5" x14ac:dyDescent="0.35"/>
  <cols>
    <col min="1" max="1" width="45.54296875" bestFit="1" customWidth="1"/>
    <col min="2" max="2" width="20.6328125" style="1" bestFit="1" customWidth="1"/>
    <col min="3" max="3" width="22.54296875" customWidth="1"/>
    <col min="10" max="10" width="14.7265625" bestFit="1" customWidth="1"/>
  </cols>
  <sheetData>
    <row r="1" spans="1:10" ht="18.5" x14ac:dyDescent="0.45">
      <c r="A1" s="6" t="s">
        <v>8</v>
      </c>
      <c r="B1" s="1" t="s">
        <v>119</v>
      </c>
    </row>
    <row r="2" spans="1:10" ht="18.5" x14ac:dyDescent="0.45">
      <c r="A2" s="6" t="s">
        <v>7</v>
      </c>
      <c r="B2" s="10">
        <v>45884</v>
      </c>
    </row>
    <row r="3" spans="1:10" ht="18.5" x14ac:dyDescent="0.45">
      <c r="A3" s="6" t="s">
        <v>13</v>
      </c>
      <c r="B3" s="23" t="s">
        <v>16</v>
      </c>
    </row>
    <row r="4" spans="1:10" ht="18.5" x14ac:dyDescent="0.45">
      <c r="A4" s="6" t="s">
        <v>12</v>
      </c>
      <c r="B4" s="21" t="s">
        <v>17</v>
      </c>
      <c r="C4" s="21"/>
    </row>
    <row r="5" spans="1:10" ht="18.5" x14ac:dyDescent="0.45">
      <c r="A5" s="6" t="s">
        <v>11</v>
      </c>
      <c r="B5" s="21" t="s">
        <v>6</v>
      </c>
      <c r="C5" s="21"/>
    </row>
    <row r="6" spans="1:10" ht="18.5" x14ac:dyDescent="0.45">
      <c r="A6" s="6" t="s">
        <v>14</v>
      </c>
      <c r="B6" s="21" t="s">
        <v>6</v>
      </c>
      <c r="C6" s="21"/>
    </row>
    <row r="7" spans="1:10" x14ac:dyDescent="0.35">
      <c r="A7" s="5" t="s">
        <v>2</v>
      </c>
      <c r="B7" s="13">
        <v>10.954000000000001</v>
      </c>
      <c r="C7" t="s">
        <v>3</v>
      </c>
    </row>
    <row r="8" spans="1:10" x14ac:dyDescent="0.35">
      <c r="A8" s="5" t="s">
        <v>4</v>
      </c>
      <c r="B8" s="24">
        <v>5</v>
      </c>
      <c r="C8" s="8" t="s">
        <v>5</v>
      </c>
    </row>
    <row r="9" spans="1:10" x14ac:dyDescent="0.35">
      <c r="A9" s="5"/>
      <c r="B9" s="12"/>
      <c r="C9" s="11"/>
    </row>
    <row r="10" spans="1:10" x14ac:dyDescent="0.35">
      <c r="A10" s="22" t="s">
        <v>18</v>
      </c>
      <c r="B10" s="22"/>
      <c r="C10" s="22"/>
      <c r="D10" s="22"/>
      <c r="E10" s="22"/>
      <c r="F10" s="22"/>
      <c r="G10" s="22"/>
      <c r="H10" s="22"/>
      <c r="I10" s="22"/>
    </row>
    <row r="11" spans="1:10" x14ac:dyDescent="0.35">
      <c r="A11" s="5"/>
      <c r="C11" s="7" t="s">
        <v>10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10" x14ac:dyDescent="0.35">
      <c r="A12" s="5"/>
      <c r="C12" s="7" t="s">
        <v>9</v>
      </c>
      <c r="D12" s="13">
        <v>10</v>
      </c>
      <c r="E12" s="13">
        <v>25</v>
      </c>
      <c r="F12" s="13">
        <v>50</v>
      </c>
      <c r="G12" s="13">
        <v>125</v>
      </c>
      <c r="H12" s="13">
        <v>250</v>
      </c>
      <c r="I12" s="13">
        <v>500</v>
      </c>
    </row>
    <row r="13" spans="1:10" s="2" customFormat="1" ht="27" customHeight="1" x14ac:dyDescent="0.35">
      <c r="A13" s="2" t="s">
        <v>1</v>
      </c>
      <c r="B13" s="2" t="s">
        <v>0</v>
      </c>
      <c r="C13" s="3" t="s">
        <v>15</v>
      </c>
      <c r="D13" s="17" t="s">
        <v>52</v>
      </c>
      <c r="E13" s="17" t="s">
        <v>53</v>
      </c>
      <c r="F13" s="17" t="s">
        <v>54</v>
      </c>
      <c r="G13" s="17" t="s">
        <v>55</v>
      </c>
      <c r="H13" s="17" t="s">
        <v>56</v>
      </c>
      <c r="I13" s="17" t="s">
        <v>57</v>
      </c>
      <c r="J13" s="3"/>
    </row>
    <row r="14" spans="1:10" x14ac:dyDescent="0.35">
      <c r="A14" s="16" t="s">
        <v>23</v>
      </c>
      <c r="B14" s="15">
        <v>3.125E-2</v>
      </c>
      <c r="C14" s="14">
        <f>B14*B$7*1000</f>
        <v>342.3125</v>
      </c>
      <c r="D14" s="4">
        <f t="shared" ref="D14:I14" si="0">$C14*(D$12/1000)/D$11</f>
        <v>3.4231250000000002</v>
      </c>
      <c r="E14" s="4">
        <f t="shared" si="0"/>
        <v>8.5578125000000007</v>
      </c>
      <c r="F14" s="4">
        <f t="shared" si="0"/>
        <v>17.115625000000001</v>
      </c>
      <c r="G14" s="4">
        <f t="shared" si="0"/>
        <v>42.7890625</v>
      </c>
      <c r="H14" s="4">
        <f t="shared" si="0"/>
        <v>85.578125</v>
      </c>
      <c r="I14" s="4">
        <f t="shared" si="0"/>
        <v>171.15625</v>
      </c>
      <c r="J14" s="9"/>
    </row>
    <row r="15" spans="1:10" x14ac:dyDescent="0.35">
      <c r="A15" s="16" t="s">
        <v>22</v>
      </c>
      <c r="B15" s="15">
        <v>3.125E-2</v>
      </c>
      <c r="C15" s="14">
        <f t="shared" ref="C15:C44" si="1">B15*B$7*1000</f>
        <v>342.3125</v>
      </c>
      <c r="D15" s="4">
        <f t="shared" ref="D15:I44" si="2">$C15*(D$12/1000)/D$11</f>
        <v>3.4231250000000002</v>
      </c>
      <c r="E15" s="4">
        <f t="shared" si="2"/>
        <v>8.5578125000000007</v>
      </c>
      <c r="F15" s="4">
        <f t="shared" si="2"/>
        <v>17.115625000000001</v>
      </c>
      <c r="G15" s="4">
        <f t="shared" si="2"/>
        <v>42.7890625</v>
      </c>
      <c r="H15" s="4">
        <f t="shared" si="2"/>
        <v>85.578125</v>
      </c>
      <c r="I15" s="4">
        <f t="shared" si="2"/>
        <v>171.15625</v>
      </c>
      <c r="J15" s="9"/>
    </row>
    <row r="16" spans="1:10" x14ac:dyDescent="0.35">
      <c r="A16" s="16" t="s">
        <v>24</v>
      </c>
      <c r="B16" s="15">
        <v>3.125E-2</v>
      </c>
      <c r="C16" s="14">
        <f t="shared" si="1"/>
        <v>342.3125</v>
      </c>
      <c r="D16" s="4">
        <f t="shared" si="2"/>
        <v>3.4231250000000002</v>
      </c>
      <c r="E16" s="4">
        <f t="shared" si="2"/>
        <v>8.5578125000000007</v>
      </c>
      <c r="F16" s="4">
        <f t="shared" si="2"/>
        <v>17.115625000000001</v>
      </c>
      <c r="G16" s="4">
        <f t="shared" si="2"/>
        <v>42.7890625</v>
      </c>
      <c r="H16" s="4">
        <f t="shared" si="2"/>
        <v>85.578125</v>
      </c>
      <c r="I16" s="4">
        <f t="shared" si="2"/>
        <v>171.15625</v>
      </c>
      <c r="J16" s="9"/>
    </row>
    <row r="17" spans="1:10" x14ac:dyDescent="0.35">
      <c r="A17" s="16" t="s">
        <v>25</v>
      </c>
      <c r="B17" s="15">
        <v>3.125E-2</v>
      </c>
      <c r="C17" s="14">
        <f t="shared" si="1"/>
        <v>342.3125</v>
      </c>
      <c r="D17" s="4">
        <f t="shared" si="2"/>
        <v>3.4231250000000002</v>
      </c>
      <c r="E17" s="4">
        <f t="shared" si="2"/>
        <v>8.5578125000000007</v>
      </c>
      <c r="F17" s="4">
        <f t="shared" si="2"/>
        <v>17.115625000000001</v>
      </c>
      <c r="G17" s="4">
        <f t="shared" si="2"/>
        <v>42.7890625</v>
      </c>
      <c r="H17" s="4">
        <f t="shared" si="2"/>
        <v>85.578125</v>
      </c>
      <c r="I17" s="4">
        <f t="shared" si="2"/>
        <v>171.15625</v>
      </c>
      <c r="J17" s="9"/>
    </row>
    <row r="18" spans="1:10" x14ac:dyDescent="0.35">
      <c r="A18" s="16" t="s">
        <v>27</v>
      </c>
      <c r="B18" s="15">
        <v>3.125E-2</v>
      </c>
      <c r="C18" s="14">
        <f t="shared" si="1"/>
        <v>342.3125</v>
      </c>
      <c r="D18" s="4">
        <f t="shared" si="2"/>
        <v>3.4231250000000002</v>
      </c>
      <c r="E18" s="4">
        <f t="shared" si="2"/>
        <v>8.5578125000000007</v>
      </c>
      <c r="F18" s="4">
        <f t="shared" si="2"/>
        <v>17.115625000000001</v>
      </c>
      <c r="G18" s="4">
        <f t="shared" si="2"/>
        <v>42.7890625</v>
      </c>
      <c r="H18" s="4">
        <f t="shared" si="2"/>
        <v>85.578125</v>
      </c>
      <c r="I18" s="4">
        <f t="shared" si="2"/>
        <v>171.15625</v>
      </c>
      <c r="J18" s="9"/>
    </row>
    <row r="19" spans="1:10" x14ac:dyDescent="0.35">
      <c r="A19" s="16" t="s">
        <v>28</v>
      </c>
      <c r="B19" s="15">
        <v>3.125E-2</v>
      </c>
      <c r="C19" s="14">
        <f t="shared" si="1"/>
        <v>342.3125</v>
      </c>
      <c r="D19" s="4">
        <f t="shared" si="2"/>
        <v>3.4231250000000002</v>
      </c>
      <c r="E19" s="4">
        <f t="shared" si="2"/>
        <v>8.5578125000000007</v>
      </c>
      <c r="F19" s="4">
        <f t="shared" si="2"/>
        <v>17.115625000000001</v>
      </c>
      <c r="G19" s="4">
        <f t="shared" si="2"/>
        <v>42.7890625</v>
      </c>
      <c r="H19" s="4">
        <f t="shared" si="2"/>
        <v>85.578125</v>
      </c>
      <c r="I19" s="4">
        <f t="shared" si="2"/>
        <v>171.15625</v>
      </c>
      <c r="J19" s="9"/>
    </row>
    <row r="20" spans="1:10" x14ac:dyDescent="0.35">
      <c r="A20" s="16" t="s">
        <v>29</v>
      </c>
      <c r="B20" s="15">
        <v>3.125E-2</v>
      </c>
      <c r="C20" s="14">
        <f t="shared" si="1"/>
        <v>342.3125</v>
      </c>
      <c r="D20" s="4">
        <f t="shared" si="2"/>
        <v>3.4231250000000002</v>
      </c>
      <c r="E20" s="4">
        <f t="shared" si="2"/>
        <v>8.5578125000000007</v>
      </c>
      <c r="F20" s="4">
        <f t="shared" si="2"/>
        <v>17.115625000000001</v>
      </c>
      <c r="G20" s="4">
        <f t="shared" si="2"/>
        <v>42.7890625</v>
      </c>
      <c r="H20" s="4">
        <f t="shared" si="2"/>
        <v>85.578125</v>
      </c>
      <c r="I20" s="4">
        <f t="shared" si="2"/>
        <v>171.15625</v>
      </c>
      <c r="J20" s="9"/>
    </row>
    <row r="21" spans="1:10" x14ac:dyDescent="0.35">
      <c r="A21" s="16" t="s">
        <v>30</v>
      </c>
      <c r="B21" s="15">
        <v>3.125E-2</v>
      </c>
      <c r="C21" s="14">
        <f t="shared" si="1"/>
        <v>342.3125</v>
      </c>
      <c r="D21" s="4">
        <f t="shared" si="2"/>
        <v>3.4231250000000002</v>
      </c>
      <c r="E21" s="4">
        <f t="shared" si="2"/>
        <v>8.5578125000000007</v>
      </c>
      <c r="F21" s="4">
        <f t="shared" si="2"/>
        <v>17.115625000000001</v>
      </c>
      <c r="G21" s="4">
        <f t="shared" si="2"/>
        <v>42.7890625</v>
      </c>
      <c r="H21" s="4">
        <f t="shared" si="2"/>
        <v>85.578125</v>
      </c>
      <c r="I21" s="4">
        <f t="shared" si="2"/>
        <v>171.15625</v>
      </c>
      <c r="J21" s="9"/>
    </row>
    <row r="22" spans="1:10" x14ac:dyDescent="0.35">
      <c r="A22" s="16" t="s">
        <v>31</v>
      </c>
      <c r="B22" s="15">
        <v>3.125E-2</v>
      </c>
      <c r="C22" s="14">
        <f t="shared" si="1"/>
        <v>342.3125</v>
      </c>
      <c r="D22" s="4">
        <f t="shared" si="2"/>
        <v>3.4231250000000002</v>
      </c>
      <c r="E22" s="4">
        <f t="shared" si="2"/>
        <v>8.5578125000000007</v>
      </c>
      <c r="F22" s="4">
        <f t="shared" si="2"/>
        <v>17.115625000000001</v>
      </c>
      <c r="G22" s="4">
        <f t="shared" si="2"/>
        <v>42.7890625</v>
      </c>
      <c r="H22" s="4">
        <f t="shared" si="2"/>
        <v>85.578125</v>
      </c>
      <c r="I22" s="4">
        <f t="shared" si="2"/>
        <v>171.15625</v>
      </c>
      <c r="J22" s="9"/>
    </row>
    <row r="23" spans="1:10" x14ac:dyDescent="0.35">
      <c r="A23" s="16" t="s">
        <v>32</v>
      </c>
      <c r="B23" s="15">
        <v>3.125E-2</v>
      </c>
      <c r="C23" s="14">
        <f t="shared" si="1"/>
        <v>342.3125</v>
      </c>
      <c r="D23" s="4">
        <f t="shared" si="2"/>
        <v>3.4231250000000002</v>
      </c>
      <c r="E23" s="4">
        <f t="shared" si="2"/>
        <v>8.5578125000000007</v>
      </c>
      <c r="F23" s="4">
        <f t="shared" si="2"/>
        <v>17.115625000000001</v>
      </c>
      <c r="G23" s="4">
        <f t="shared" si="2"/>
        <v>42.7890625</v>
      </c>
      <c r="H23" s="4">
        <f t="shared" si="2"/>
        <v>85.578125</v>
      </c>
      <c r="I23" s="4">
        <f t="shared" si="2"/>
        <v>171.15625</v>
      </c>
      <c r="J23" s="9"/>
    </row>
    <row r="24" spans="1:10" x14ac:dyDescent="0.35">
      <c r="A24" s="16" t="s">
        <v>33</v>
      </c>
      <c r="B24" s="15">
        <v>3.125E-2</v>
      </c>
      <c r="C24" s="14">
        <f t="shared" si="1"/>
        <v>342.3125</v>
      </c>
      <c r="D24" s="4">
        <f t="shared" si="2"/>
        <v>3.4231250000000002</v>
      </c>
      <c r="E24" s="4">
        <f t="shared" si="2"/>
        <v>8.5578125000000007</v>
      </c>
      <c r="F24" s="4">
        <f t="shared" si="2"/>
        <v>17.115625000000001</v>
      </c>
      <c r="G24" s="4">
        <f t="shared" si="2"/>
        <v>42.7890625</v>
      </c>
      <c r="H24" s="4">
        <f t="shared" si="2"/>
        <v>85.578125</v>
      </c>
      <c r="I24" s="4">
        <f t="shared" si="2"/>
        <v>171.15625</v>
      </c>
      <c r="J24" s="9"/>
    </row>
    <row r="25" spans="1:10" x14ac:dyDescent="0.35">
      <c r="A25" s="16" t="s">
        <v>34</v>
      </c>
      <c r="B25" s="15">
        <v>3.125E-2</v>
      </c>
      <c r="C25" s="14">
        <f t="shared" si="1"/>
        <v>342.3125</v>
      </c>
      <c r="D25" s="4">
        <f t="shared" si="2"/>
        <v>3.4231250000000002</v>
      </c>
      <c r="E25" s="4">
        <f t="shared" si="2"/>
        <v>8.5578125000000007</v>
      </c>
      <c r="F25" s="4">
        <f t="shared" si="2"/>
        <v>17.115625000000001</v>
      </c>
      <c r="G25" s="4">
        <f t="shared" si="2"/>
        <v>42.7890625</v>
      </c>
      <c r="H25" s="4">
        <f t="shared" si="2"/>
        <v>85.578125</v>
      </c>
      <c r="I25" s="4">
        <f t="shared" si="2"/>
        <v>171.15625</v>
      </c>
      <c r="J25" s="9"/>
    </row>
    <row r="26" spans="1:10" x14ac:dyDescent="0.35">
      <c r="A26" s="16" t="s">
        <v>35</v>
      </c>
      <c r="B26" s="15">
        <v>3.125E-2</v>
      </c>
      <c r="C26" s="14">
        <f t="shared" si="1"/>
        <v>342.3125</v>
      </c>
      <c r="D26" s="4">
        <f t="shared" si="2"/>
        <v>3.4231250000000002</v>
      </c>
      <c r="E26" s="4">
        <f t="shared" si="2"/>
        <v>8.5578125000000007</v>
      </c>
      <c r="F26" s="4">
        <f t="shared" si="2"/>
        <v>17.115625000000001</v>
      </c>
      <c r="G26" s="4">
        <f t="shared" si="2"/>
        <v>42.7890625</v>
      </c>
      <c r="H26" s="4">
        <f t="shared" si="2"/>
        <v>85.578125</v>
      </c>
      <c r="I26" s="4">
        <f t="shared" si="2"/>
        <v>171.15625</v>
      </c>
      <c r="J26" s="9"/>
    </row>
    <row r="27" spans="1:10" x14ac:dyDescent="0.35">
      <c r="A27" s="16" t="s">
        <v>36</v>
      </c>
      <c r="B27" s="15">
        <v>3.125E-2</v>
      </c>
      <c r="C27" s="14">
        <f t="shared" si="1"/>
        <v>342.3125</v>
      </c>
      <c r="D27" s="4">
        <f t="shared" si="2"/>
        <v>3.4231250000000002</v>
      </c>
      <c r="E27" s="4">
        <f t="shared" si="2"/>
        <v>8.5578125000000007</v>
      </c>
      <c r="F27" s="4">
        <f t="shared" si="2"/>
        <v>17.115625000000001</v>
      </c>
      <c r="G27" s="4">
        <f t="shared" si="2"/>
        <v>42.7890625</v>
      </c>
      <c r="H27" s="4">
        <f t="shared" si="2"/>
        <v>85.578125</v>
      </c>
      <c r="I27" s="4">
        <f t="shared" si="2"/>
        <v>171.15625</v>
      </c>
      <c r="J27" s="9"/>
    </row>
    <row r="28" spans="1:10" x14ac:dyDescent="0.35">
      <c r="A28" s="16" t="s">
        <v>37</v>
      </c>
      <c r="B28" s="15">
        <v>3.125E-2</v>
      </c>
      <c r="C28" s="14">
        <f t="shared" si="1"/>
        <v>342.3125</v>
      </c>
      <c r="D28" s="4">
        <f t="shared" si="2"/>
        <v>3.4231250000000002</v>
      </c>
      <c r="E28" s="4">
        <f t="shared" si="2"/>
        <v>8.5578125000000007</v>
      </c>
      <c r="F28" s="4">
        <f t="shared" si="2"/>
        <v>17.115625000000001</v>
      </c>
      <c r="G28" s="4">
        <f t="shared" si="2"/>
        <v>42.7890625</v>
      </c>
      <c r="H28" s="4">
        <f t="shared" si="2"/>
        <v>85.578125</v>
      </c>
      <c r="I28" s="4">
        <f t="shared" si="2"/>
        <v>171.15625</v>
      </c>
      <c r="J28" s="9"/>
    </row>
    <row r="29" spans="1:10" x14ac:dyDescent="0.35">
      <c r="A29" s="16" t="s">
        <v>39</v>
      </c>
      <c r="B29" s="15">
        <v>3.125E-2</v>
      </c>
      <c r="C29" s="14">
        <f t="shared" si="1"/>
        <v>342.3125</v>
      </c>
      <c r="D29" s="4">
        <f t="shared" si="2"/>
        <v>3.4231250000000002</v>
      </c>
      <c r="E29" s="4">
        <f t="shared" si="2"/>
        <v>8.5578125000000007</v>
      </c>
      <c r="F29" s="4">
        <f t="shared" si="2"/>
        <v>17.115625000000001</v>
      </c>
      <c r="G29" s="4">
        <f t="shared" si="2"/>
        <v>42.7890625</v>
      </c>
      <c r="H29" s="4">
        <f t="shared" si="2"/>
        <v>85.578125</v>
      </c>
      <c r="I29" s="4">
        <f t="shared" si="2"/>
        <v>171.15625</v>
      </c>
      <c r="J29" s="9"/>
    </row>
    <row r="30" spans="1:10" x14ac:dyDescent="0.35">
      <c r="A30" s="16" t="s">
        <v>38</v>
      </c>
      <c r="B30" s="15">
        <v>3.125E-2</v>
      </c>
      <c r="C30" s="14">
        <f t="shared" si="1"/>
        <v>342.3125</v>
      </c>
      <c r="D30" s="4">
        <f t="shared" si="2"/>
        <v>3.4231250000000002</v>
      </c>
      <c r="E30" s="4">
        <f t="shared" si="2"/>
        <v>8.5578125000000007</v>
      </c>
      <c r="F30" s="4">
        <f t="shared" si="2"/>
        <v>17.115625000000001</v>
      </c>
      <c r="G30" s="4">
        <f t="shared" si="2"/>
        <v>42.7890625</v>
      </c>
      <c r="H30" s="4">
        <f t="shared" si="2"/>
        <v>85.578125</v>
      </c>
      <c r="I30" s="4">
        <f t="shared" si="2"/>
        <v>171.15625</v>
      </c>
      <c r="J30" s="9"/>
    </row>
    <row r="31" spans="1:10" x14ac:dyDescent="0.35">
      <c r="A31" s="16" t="s">
        <v>40</v>
      </c>
      <c r="B31" s="15">
        <v>3.125E-2</v>
      </c>
      <c r="C31" s="14">
        <f t="shared" si="1"/>
        <v>342.3125</v>
      </c>
      <c r="D31" s="4">
        <f t="shared" si="2"/>
        <v>3.4231250000000002</v>
      </c>
      <c r="E31" s="4">
        <f t="shared" si="2"/>
        <v>8.5578125000000007</v>
      </c>
      <c r="F31" s="4">
        <f t="shared" si="2"/>
        <v>17.115625000000001</v>
      </c>
      <c r="G31" s="4">
        <f t="shared" si="2"/>
        <v>42.7890625</v>
      </c>
      <c r="H31" s="4">
        <f t="shared" si="2"/>
        <v>85.578125</v>
      </c>
      <c r="I31" s="4">
        <f t="shared" si="2"/>
        <v>171.15625</v>
      </c>
      <c r="J31" s="9"/>
    </row>
    <row r="32" spans="1:10" x14ac:dyDescent="0.35">
      <c r="A32" s="16" t="s">
        <v>41</v>
      </c>
      <c r="B32" s="15">
        <v>3.125E-2</v>
      </c>
      <c r="C32" s="14">
        <f t="shared" si="1"/>
        <v>342.3125</v>
      </c>
      <c r="D32" s="4">
        <f t="shared" si="2"/>
        <v>3.4231250000000002</v>
      </c>
      <c r="E32" s="4">
        <f t="shared" si="2"/>
        <v>8.5578125000000007</v>
      </c>
      <c r="F32" s="4">
        <f t="shared" si="2"/>
        <v>17.115625000000001</v>
      </c>
      <c r="G32" s="4">
        <f t="shared" si="2"/>
        <v>42.7890625</v>
      </c>
      <c r="H32" s="4">
        <f t="shared" si="2"/>
        <v>85.578125</v>
      </c>
      <c r="I32" s="4">
        <f t="shared" si="2"/>
        <v>171.15625</v>
      </c>
      <c r="J32" s="9"/>
    </row>
    <row r="33" spans="1:10" x14ac:dyDescent="0.35">
      <c r="A33" s="16" t="s">
        <v>42</v>
      </c>
      <c r="B33" s="15">
        <v>3.125E-2</v>
      </c>
      <c r="C33" s="14">
        <f t="shared" si="1"/>
        <v>342.3125</v>
      </c>
      <c r="D33" s="4">
        <f t="shared" si="2"/>
        <v>3.4231250000000002</v>
      </c>
      <c r="E33" s="4">
        <f t="shared" si="2"/>
        <v>8.5578125000000007</v>
      </c>
      <c r="F33" s="4">
        <f t="shared" si="2"/>
        <v>17.115625000000001</v>
      </c>
      <c r="G33" s="4">
        <f t="shared" si="2"/>
        <v>42.7890625</v>
      </c>
      <c r="H33" s="4">
        <f t="shared" si="2"/>
        <v>85.578125</v>
      </c>
      <c r="I33" s="4">
        <f t="shared" si="2"/>
        <v>171.15625</v>
      </c>
      <c r="J33" s="9"/>
    </row>
    <row r="34" spans="1:10" x14ac:dyDescent="0.35">
      <c r="A34" s="16" t="s">
        <v>44</v>
      </c>
      <c r="B34" s="15">
        <v>3.125E-2</v>
      </c>
      <c r="C34" s="14">
        <f t="shared" si="1"/>
        <v>342.3125</v>
      </c>
      <c r="D34" s="4">
        <f t="shared" si="2"/>
        <v>3.4231250000000002</v>
      </c>
      <c r="E34" s="4">
        <f t="shared" si="2"/>
        <v>8.5578125000000007</v>
      </c>
      <c r="F34" s="4">
        <f t="shared" si="2"/>
        <v>17.115625000000001</v>
      </c>
      <c r="G34" s="4">
        <f t="shared" si="2"/>
        <v>42.7890625</v>
      </c>
      <c r="H34" s="4">
        <f t="shared" si="2"/>
        <v>85.578125</v>
      </c>
      <c r="I34" s="4">
        <f t="shared" si="2"/>
        <v>171.15625</v>
      </c>
      <c r="J34" s="9"/>
    </row>
    <row r="35" spans="1:10" x14ac:dyDescent="0.35">
      <c r="A35" s="16" t="s">
        <v>43</v>
      </c>
      <c r="B35" s="15">
        <v>3.125E-2</v>
      </c>
      <c r="C35" s="14">
        <f t="shared" si="1"/>
        <v>342.3125</v>
      </c>
      <c r="D35" s="4">
        <f t="shared" si="2"/>
        <v>3.4231250000000002</v>
      </c>
      <c r="E35" s="4">
        <f t="shared" si="2"/>
        <v>8.5578125000000007</v>
      </c>
      <c r="F35" s="4">
        <f t="shared" si="2"/>
        <v>17.115625000000001</v>
      </c>
      <c r="G35" s="4">
        <f t="shared" si="2"/>
        <v>42.7890625</v>
      </c>
      <c r="H35" s="4">
        <f t="shared" si="2"/>
        <v>85.578125</v>
      </c>
      <c r="I35" s="4">
        <f t="shared" si="2"/>
        <v>171.15625</v>
      </c>
      <c r="J35" s="9"/>
    </row>
    <row r="36" spans="1:10" x14ac:dyDescent="0.35">
      <c r="A36" s="16" t="s">
        <v>46</v>
      </c>
      <c r="B36" s="15">
        <v>3.125E-2</v>
      </c>
      <c r="C36" s="14">
        <f t="shared" si="1"/>
        <v>342.3125</v>
      </c>
      <c r="D36" s="4">
        <f t="shared" si="2"/>
        <v>3.4231250000000002</v>
      </c>
      <c r="E36" s="4">
        <f t="shared" si="2"/>
        <v>8.5578125000000007</v>
      </c>
      <c r="F36" s="4">
        <f t="shared" si="2"/>
        <v>17.115625000000001</v>
      </c>
      <c r="G36" s="4">
        <f t="shared" si="2"/>
        <v>42.7890625</v>
      </c>
      <c r="H36" s="4">
        <f t="shared" si="2"/>
        <v>85.578125</v>
      </c>
      <c r="I36" s="4">
        <f t="shared" si="2"/>
        <v>171.15625</v>
      </c>
      <c r="J36" s="9"/>
    </row>
    <row r="37" spans="1:10" x14ac:dyDescent="0.35">
      <c r="A37" s="16" t="s">
        <v>45</v>
      </c>
      <c r="B37" s="15">
        <v>3.125E-2</v>
      </c>
      <c r="C37" s="14">
        <f t="shared" si="1"/>
        <v>342.3125</v>
      </c>
      <c r="D37" s="4">
        <f t="shared" si="2"/>
        <v>3.4231250000000002</v>
      </c>
      <c r="E37" s="4">
        <f t="shared" si="2"/>
        <v>8.5578125000000007</v>
      </c>
      <c r="F37" s="4">
        <f t="shared" si="2"/>
        <v>17.115625000000001</v>
      </c>
      <c r="G37" s="4">
        <f t="shared" si="2"/>
        <v>42.7890625</v>
      </c>
      <c r="H37" s="4">
        <f t="shared" si="2"/>
        <v>85.578125</v>
      </c>
      <c r="I37" s="4">
        <f t="shared" si="2"/>
        <v>171.15625</v>
      </c>
      <c r="J37" s="9"/>
    </row>
    <row r="38" spans="1:10" x14ac:dyDescent="0.35">
      <c r="A38" s="16" t="s">
        <v>47</v>
      </c>
      <c r="B38" s="15">
        <v>3.125E-2</v>
      </c>
      <c r="C38" s="14">
        <f t="shared" si="1"/>
        <v>342.3125</v>
      </c>
      <c r="D38" s="4">
        <f t="shared" si="2"/>
        <v>3.4231250000000002</v>
      </c>
      <c r="E38" s="4">
        <f t="shared" si="2"/>
        <v>8.5578125000000007</v>
      </c>
      <c r="F38" s="4">
        <f t="shared" si="2"/>
        <v>17.115625000000001</v>
      </c>
      <c r="G38" s="4">
        <f t="shared" si="2"/>
        <v>42.7890625</v>
      </c>
      <c r="H38" s="4">
        <f t="shared" si="2"/>
        <v>85.578125</v>
      </c>
      <c r="I38" s="4">
        <f t="shared" si="2"/>
        <v>171.15625</v>
      </c>
      <c r="J38" s="9"/>
    </row>
    <row r="39" spans="1:10" x14ac:dyDescent="0.35">
      <c r="A39" s="16" t="s">
        <v>48</v>
      </c>
      <c r="B39" s="15">
        <v>3.125E-2</v>
      </c>
      <c r="C39" s="14">
        <f t="shared" si="1"/>
        <v>342.3125</v>
      </c>
      <c r="D39" s="4">
        <f t="shared" si="2"/>
        <v>3.4231250000000002</v>
      </c>
      <c r="E39" s="4">
        <f t="shared" si="2"/>
        <v>8.5578125000000007</v>
      </c>
      <c r="F39" s="4">
        <f t="shared" si="2"/>
        <v>17.115625000000001</v>
      </c>
      <c r="G39" s="4">
        <f t="shared" si="2"/>
        <v>42.7890625</v>
      </c>
      <c r="H39" s="4">
        <f t="shared" si="2"/>
        <v>85.578125</v>
      </c>
      <c r="I39" s="4">
        <f t="shared" si="2"/>
        <v>171.15625</v>
      </c>
      <c r="J39" s="9"/>
    </row>
    <row r="40" spans="1:10" x14ac:dyDescent="0.35">
      <c r="A40" s="16" t="s">
        <v>49</v>
      </c>
      <c r="B40" s="15">
        <v>3.125E-2</v>
      </c>
      <c r="C40" s="14">
        <f t="shared" si="1"/>
        <v>342.3125</v>
      </c>
      <c r="D40" s="4">
        <f t="shared" si="2"/>
        <v>3.4231250000000002</v>
      </c>
      <c r="E40" s="4">
        <f t="shared" si="2"/>
        <v>8.5578125000000007</v>
      </c>
      <c r="F40" s="4">
        <f t="shared" si="2"/>
        <v>17.115625000000001</v>
      </c>
      <c r="G40" s="4">
        <f t="shared" si="2"/>
        <v>42.7890625</v>
      </c>
      <c r="H40" s="4">
        <f t="shared" si="2"/>
        <v>85.578125</v>
      </c>
      <c r="I40" s="4">
        <f t="shared" si="2"/>
        <v>171.15625</v>
      </c>
      <c r="J40" s="9"/>
    </row>
    <row r="41" spans="1:10" x14ac:dyDescent="0.35">
      <c r="A41" s="16" t="s">
        <v>50</v>
      </c>
      <c r="B41" s="15">
        <v>3.125E-2</v>
      </c>
      <c r="C41" s="14">
        <f t="shared" si="1"/>
        <v>342.3125</v>
      </c>
      <c r="D41" s="4">
        <f t="shared" si="2"/>
        <v>3.4231250000000002</v>
      </c>
      <c r="E41" s="4">
        <f t="shared" si="2"/>
        <v>8.5578125000000007</v>
      </c>
      <c r="F41" s="4">
        <f t="shared" si="2"/>
        <v>17.115625000000001</v>
      </c>
      <c r="G41" s="4">
        <f t="shared" si="2"/>
        <v>42.7890625</v>
      </c>
      <c r="H41" s="4">
        <f t="shared" si="2"/>
        <v>85.578125</v>
      </c>
      <c r="I41" s="4">
        <f t="shared" si="2"/>
        <v>171.15625</v>
      </c>
      <c r="J41" s="9"/>
    </row>
    <row r="42" spans="1:10" x14ac:dyDescent="0.35">
      <c r="A42" s="16" t="s">
        <v>51</v>
      </c>
      <c r="B42" s="15">
        <v>3.125E-2</v>
      </c>
      <c r="C42" s="14">
        <f t="shared" si="1"/>
        <v>342.3125</v>
      </c>
      <c r="D42" s="4">
        <f t="shared" si="2"/>
        <v>3.4231250000000002</v>
      </c>
      <c r="E42" s="4">
        <f t="shared" si="2"/>
        <v>8.5578125000000007</v>
      </c>
      <c r="F42" s="4">
        <f t="shared" si="2"/>
        <v>17.115625000000001</v>
      </c>
      <c r="G42" s="4">
        <f t="shared" si="2"/>
        <v>42.7890625</v>
      </c>
      <c r="H42" s="4">
        <f t="shared" si="2"/>
        <v>85.578125</v>
      </c>
      <c r="I42" s="4">
        <f t="shared" si="2"/>
        <v>171.15625</v>
      </c>
      <c r="J42" s="9"/>
    </row>
    <row r="43" spans="1:10" x14ac:dyDescent="0.35">
      <c r="A43" s="16" t="s">
        <v>58</v>
      </c>
      <c r="B43" s="15">
        <v>3.125E-2</v>
      </c>
      <c r="C43" s="14">
        <f t="shared" si="1"/>
        <v>342.3125</v>
      </c>
      <c r="D43" s="4">
        <f t="shared" si="2"/>
        <v>3.4231250000000002</v>
      </c>
      <c r="E43" s="4">
        <f t="shared" si="2"/>
        <v>8.5578125000000007</v>
      </c>
      <c r="F43" s="4">
        <f t="shared" si="2"/>
        <v>17.115625000000001</v>
      </c>
      <c r="G43" s="4">
        <f t="shared" si="2"/>
        <v>42.7890625</v>
      </c>
      <c r="H43" s="4">
        <f t="shared" si="2"/>
        <v>85.578125</v>
      </c>
      <c r="I43" s="4">
        <f t="shared" si="2"/>
        <v>171.15625</v>
      </c>
      <c r="J43" s="9"/>
    </row>
    <row r="44" spans="1:10" x14ac:dyDescent="0.35">
      <c r="A44" s="16" t="s">
        <v>26</v>
      </c>
      <c r="B44" s="15">
        <v>3.125E-2</v>
      </c>
      <c r="C44" s="14">
        <f t="shared" si="1"/>
        <v>342.3125</v>
      </c>
      <c r="D44" s="4">
        <f t="shared" si="2"/>
        <v>3.4231250000000002</v>
      </c>
      <c r="E44" s="4">
        <f t="shared" si="2"/>
        <v>8.5578125000000007</v>
      </c>
      <c r="F44" s="4">
        <f t="shared" si="2"/>
        <v>17.115625000000001</v>
      </c>
      <c r="G44" s="4">
        <f t="shared" si="2"/>
        <v>42.7890625</v>
      </c>
      <c r="H44" s="4">
        <f t="shared" si="2"/>
        <v>85.578125</v>
      </c>
      <c r="I44" s="4">
        <f t="shared" si="2"/>
        <v>171.15625</v>
      </c>
      <c r="J44" s="9"/>
    </row>
  </sheetData>
  <mergeCells count="4">
    <mergeCell ref="B4:C4"/>
    <mergeCell ref="B5:C5"/>
    <mergeCell ref="A10:I10"/>
    <mergeCell ref="B6:C6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87C4-33EF-4CB9-BEE2-7E9EB43202BC}">
  <sheetPr>
    <tabColor theme="9"/>
  </sheetPr>
  <dimension ref="A1:J44"/>
  <sheetViews>
    <sheetView workbookViewId="0">
      <selection activeCell="B8" sqref="B8"/>
    </sheetView>
  </sheetViews>
  <sheetFormatPr defaultRowHeight="14.5" x14ac:dyDescent="0.35"/>
  <cols>
    <col min="1" max="1" width="45.54296875" bestFit="1" customWidth="1"/>
    <col min="2" max="2" width="20.6328125" style="1" bestFit="1" customWidth="1"/>
    <col min="3" max="3" width="22.54296875" customWidth="1"/>
    <col min="10" max="10" width="14.7265625" bestFit="1" customWidth="1"/>
  </cols>
  <sheetData>
    <row r="1" spans="1:10" ht="18.5" x14ac:dyDescent="0.45">
      <c r="A1" s="6" t="s">
        <v>8</v>
      </c>
      <c r="B1" s="1" t="s">
        <v>119</v>
      </c>
    </row>
    <row r="2" spans="1:10" ht="18.5" x14ac:dyDescent="0.45">
      <c r="A2" s="6" t="s">
        <v>7</v>
      </c>
      <c r="B2" s="10">
        <v>45981</v>
      </c>
    </row>
    <row r="3" spans="1:10" ht="18.5" x14ac:dyDescent="0.45">
      <c r="A3" s="6" t="s">
        <v>13</v>
      </c>
      <c r="B3" s="23" t="s">
        <v>20</v>
      </c>
    </row>
    <row r="4" spans="1:10" ht="18.5" x14ac:dyDescent="0.45">
      <c r="A4" s="6" t="s">
        <v>12</v>
      </c>
      <c r="B4" s="21" t="s">
        <v>19</v>
      </c>
      <c r="C4" s="21"/>
    </row>
    <row r="5" spans="1:10" ht="18.5" x14ac:dyDescent="0.45">
      <c r="A5" s="6" t="s">
        <v>11</v>
      </c>
      <c r="B5" s="21" t="s">
        <v>6</v>
      </c>
      <c r="C5" s="21"/>
    </row>
    <row r="6" spans="1:10" ht="18.5" x14ac:dyDescent="0.45">
      <c r="A6" s="6" t="s">
        <v>14</v>
      </c>
      <c r="B6" s="21" t="s">
        <v>6</v>
      </c>
      <c r="C6" s="21"/>
    </row>
    <row r="7" spans="1:10" x14ac:dyDescent="0.35">
      <c r="A7" s="5" t="s">
        <v>2</v>
      </c>
      <c r="B7" s="13">
        <v>10.954000000000001</v>
      </c>
      <c r="C7" t="s">
        <v>3</v>
      </c>
    </row>
    <row r="8" spans="1:10" x14ac:dyDescent="0.35">
      <c r="A8" s="5" t="s">
        <v>4</v>
      </c>
      <c r="B8" s="24">
        <v>5</v>
      </c>
      <c r="C8" s="8" t="s">
        <v>5</v>
      </c>
    </row>
    <row r="9" spans="1:10" x14ac:dyDescent="0.35">
      <c r="A9" s="5"/>
      <c r="B9" s="12"/>
      <c r="C9" s="11"/>
    </row>
    <row r="10" spans="1:10" x14ac:dyDescent="0.35">
      <c r="A10" s="22" t="s">
        <v>18</v>
      </c>
      <c r="B10" s="22"/>
      <c r="C10" s="22"/>
      <c r="D10" s="22"/>
      <c r="E10" s="22"/>
      <c r="F10" s="22"/>
      <c r="G10" s="22"/>
      <c r="H10" s="22"/>
      <c r="I10" s="22"/>
    </row>
    <row r="11" spans="1:10" x14ac:dyDescent="0.35">
      <c r="A11" s="5"/>
      <c r="C11" s="7" t="s">
        <v>10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10" x14ac:dyDescent="0.35">
      <c r="A12" s="5"/>
      <c r="C12" s="7" t="s">
        <v>9</v>
      </c>
      <c r="D12" s="13">
        <v>10</v>
      </c>
      <c r="E12" s="13">
        <v>25</v>
      </c>
      <c r="F12" s="13">
        <v>50</v>
      </c>
      <c r="G12" s="13">
        <v>125</v>
      </c>
      <c r="H12" s="13">
        <v>250</v>
      </c>
      <c r="I12" s="13">
        <v>500</v>
      </c>
    </row>
    <row r="13" spans="1:10" s="2" customFormat="1" ht="27" customHeight="1" x14ac:dyDescent="0.35">
      <c r="A13" s="2" t="s">
        <v>1</v>
      </c>
      <c r="B13" s="2" t="s">
        <v>0</v>
      </c>
      <c r="C13" s="3" t="s">
        <v>15</v>
      </c>
      <c r="D13" s="17" t="s">
        <v>52</v>
      </c>
      <c r="E13" s="17" t="s">
        <v>53</v>
      </c>
      <c r="F13" s="17" t="s">
        <v>54</v>
      </c>
      <c r="G13" s="17" t="s">
        <v>55</v>
      </c>
      <c r="H13" s="17" t="s">
        <v>56</v>
      </c>
      <c r="I13" s="17" t="s">
        <v>57</v>
      </c>
      <c r="J13" s="3"/>
    </row>
    <row r="14" spans="1:10" x14ac:dyDescent="0.35">
      <c r="A14" s="16" t="s">
        <v>23</v>
      </c>
      <c r="B14" s="15">
        <v>3.125E-2</v>
      </c>
      <c r="C14" s="14">
        <f>B14*B$7*1000</f>
        <v>342.3125</v>
      </c>
      <c r="D14" s="4">
        <f t="shared" ref="D14:I29" si="0">$C14*(D$12/1000)/D$11</f>
        <v>3.4231250000000002</v>
      </c>
      <c r="E14" s="4">
        <f t="shared" si="0"/>
        <v>8.5578125000000007</v>
      </c>
      <c r="F14" s="4">
        <f t="shared" si="0"/>
        <v>17.115625000000001</v>
      </c>
      <c r="G14" s="4">
        <f t="shared" si="0"/>
        <v>42.7890625</v>
      </c>
      <c r="H14" s="4">
        <f t="shared" si="0"/>
        <v>85.578125</v>
      </c>
      <c r="I14" s="4">
        <f t="shared" si="0"/>
        <v>171.15625</v>
      </c>
      <c r="J14" s="9"/>
    </row>
    <row r="15" spans="1:10" x14ac:dyDescent="0.35">
      <c r="A15" s="16" t="s">
        <v>22</v>
      </c>
      <c r="B15" s="15">
        <v>3.125E-2</v>
      </c>
      <c r="C15" s="14">
        <f t="shared" ref="C15:C44" si="1">B15*B$7*1000</f>
        <v>342.3125</v>
      </c>
      <c r="D15" s="4">
        <f t="shared" si="0"/>
        <v>3.4231250000000002</v>
      </c>
      <c r="E15" s="4">
        <f t="shared" si="0"/>
        <v>8.5578125000000007</v>
      </c>
      <c r="F15" s="4">
        <f t="shared" si="0"/>
        <v>17.115625000000001</v>
      </c>
      <c r="G15" s="4">
        <f t="shared" si="0"/>
        <v>42.7890625</v>
      </c>
      <c r="H15" s="4">
        <f t="shared" si="0"/>
        <v>85.578125</v>
      </c>
      <c r="I15" s="4">
        <f t="shared" si="0"/>
        <v>171.15625</v>
      </c>
      <c r="J15" s="9"/>
    </row>
    <row r="16" spans="1:10" x14ac:dyDescent="0.35">
      <c r="A16" s="16" t="s">
        <v>24</v>
      </c>
      <c r="B16" s="15">
        <v>3.125E-2</v>
      </c>
      <c r="C16" s="14">
        <f t="shared" si="1"/>
        <v>342.3125</v>
      </c>
      <c r="D16" s="4">
        <f t="shared" si="0"/>
        <v>3.4231250000000002</v>
      </c>
      <c r="E16" s="4">
        <f t="shared" si="0"/>
        <v>8.5578125000000007</v>
      </c>
      <c r="F16" s="4">
        <f t="shared" si="0"/>
        <v>17.115625000000001</v>
      </c>
      <c r="G16" s="4">
        <f t="shared" si="0"/>
        <v>42.7890625</v>
      </c>
      <c r="H16" s="4">
        <f t="shared" si="0"/>
        <v>85.578125</v>
      </c>
      <c r="I16" s="4">
        <f t="shared" si="0"/>
        <v>171.15625</v>
      </c>
      <c r="J16" s="9"/>
    </row>
    <row r="17" spans="1:10" x14ac:dyDescent="0.35">
      <c r="A17" s="16" t="s">
        <v>25</v>
      </c>
      <c r="B17" s="15">
        <v>3.125E-2</v>
      </c>
      <c r="C17" s="14">
        <f t="shared" si="1"/>
        <v>342.3125</v>
      </c>
      <c r="D17" s="4">
        <f t="shared" si="0"/>
        <v>3.4231250000000002</v>
      </c>
      <c r="E17" s="4">
        <f t="shared" si="0"/>
        <v>8.5578125000000007</v>
      </c>
      <c r="F17" s="4">
        <f t="shared" si="0"/>
        <v>17.115625000000001</v>
      </c>
      <c r="G17" s="4">
        <f t="shared" si="0"/>
        <v>42.7890625</v>
      </c>
      <c r="H17" s="4">
        <f t="shared" si="0"/>
        <v>85.578125</v>
      </c>
      <c r="I17" s="4">
        <f t="shared" si="0"/>
        <v>171.15625</v>
      </c>
      <c r="J17" s="9"/>
    </row>
    <row r="18" spans="1:10" x14ac:dyDescent="0.35">
      <c r="A18" s="16" t="s">
        <v>27</v>
      </c>
      <c r="B18" s="15">
        <v>3.125E-2</v>
      </c>
      <c r="C18" s="14">
        <f t="shared" si="1"/>
        <v>342.3125</v>
      </c>
      <c r="D18" s="4">
        <f t="shared" si="0"/>
        <v>3.4231250000000002</v>
      </c>
      <c r="E18" s="4">
        <f t="shared" si="0"/>
        <v>8.5578125000000007</v>
      </c>
      <c r="F18" s="4">
        <f t="shared" si="0"/>
        <v>17.115625000000001</v>
      </c>
      <c r="G18" s="4">
        <f t="shared" si="0"/>
        <v>42.7890625</v>
      </c>
      <c r="H18" s="4">
        <f t="shared" si="0"/>
        <v>85.578125</v>
      </c>
      <c r="I18" s="4">
        <f t="shared" si="0"/>
        <v>171.15625</v>
      </c>
      <c r="J18" s="9"/>
    </row>
    <row r="19" spans="1:10" x14ac:dyDescent="0.35">
      <c r="A19" s="16" t="s">
        <v>28</v>
      </c>
      <c r="B19" s="15">
        <v>3.125E-2</v>
      </c>
      <c r="C19" s="14">
        <f t="shared" si="1"/>
        <v>342.3125</v>
      </c>
      <c r="D19" s="4">
        <f t="shared" si="0"/>
        <v>3.4231250000000002</v>
      </c>
      <c r="E19" s="4">
        <f t="shared" si="0"/>
        <v>8.5578125000000007</v>
      </c>
      <c r="F19" s="4">
        <f t="shared" si="0"/>
        <v>17.115625000000001</v>
      </c>
      <c r="G19" s="4">
        <f t="shared" si="0"/>
        <v>42.7890625</v>
      </c>
      <c r="H19" s="4">
        <f t="shared" si="0"/>
        <v>85.578125</v>
      </c>
      <c r="I19" s="4">
        <f t="shared" si="0"/>
        <v>171.15625</v>
      </c>
      <c r="J19" s="9"/>
    </row>
    <row r="20" spans="1:10" x14ac:dyDescent="0.35">
      <c r="A20" s="16" t="s">
        <v>29</v>
      </c>
      <c r="B20" s="15">
        <v>3.125E-2</v>
      </c>
      <c r="C20" s="14">
        <f t="shared" si="1"/>
        <v>342.3125</v>
      </c>
      <c r="D20" s="4">
        <f t="shared" si="0"/>
        <v>3.4231250000000002</v>
      </c>
      <c r="E20" s="4">
        <f t="shared" si="0"/>
        <v>8.5578125000000007</v>
      </c>
      <c r="F20" s="4">
        <f t="shared" si="0"/>
        <v>17.115625000000001</v>
      </c>
      <c r="G20" s="4">
        <f t="shared" si="0"/>
        <v>42.7890625</v>
      </c>
      <c r="H20" s="4">
        <f t="shared" si="0"/>
        <v>85.578125</v>
      </c>
      <c r="I20" s="4">
        <f t="shared" si="0"/>
        <v>171.15625</v>
      </c>
      <c r="J20" s="9"/>
    </row>
    <row r="21" spans="1:10" x14ac:dyDescent="0.35">
      <c r="A21" s="16" t="s">
        <v>30</v>
      </c>
      <c r="B21" s="15">
        <v>3.125E-2</v>
      </c>
      <c r="C21" s="14">
        <f t="shared" si="1"/>
        <v>342.3125</v>
      </c>
      <c r="D21" s="4">
        <f t="shared" si="0"/>
        <v>3.4231250000000002</v>
      </c>
      <c r="E21" s="4">
        <f t="shared" si="0"/>
        <v>8.5578125000000007</v>
      </c>
      <c r="F21" s="4">
        <f t="shared" si="0"/>
        <v>17.115625000000001</v>
      </c>
      <c r="G21" s="4">
        <f t="shared" si="0"/>
        <v>42.7890625</v>
      </c>
      <c r="H21" s="4">
        <f t="shared" si="0"/>
        <v>85.578125</v>
      </c>
      <c r="I21" s="4">
        <f t="shared" si="0"/>
        <v>171.15625</v>
      </c>
      <c r="J21" s="9"/>
    </row>
    <row r="22" spans="1:10" x14ac:dyDescent="0.35">
      <c r="A22" s="16" t="s">
        <v>31</v>
      </c>
      <c r="B22" s="15">
        <v>3.125E-2</v>
      </c>
      <c r="C22" s="14">
        <f t="shared" si="1"/>
        <v>342.3125</v>
      </c>
      <c r="D22" s="4">
        <f t="shared" si="0"/>
        <v>3.4231250000000002</v>
      </c>
      <c r="E22" s="4">
        <f t="shared" si="0"/>
        <v>8.5578125000000007</v>
      </c>
      <c r="F22" s="4">
        <f t="shared" si="0"/>
        <v>17.115625000000001</v>
      </c>
      <c r="G22" s="4">
        <f t="shared" si="0"/>
        <v>42.7890625</v>
      </c>
      <c r="H22" s="4">
        <f t="shared" si="0"/>
        <v>85.578125</v>
      </c>
      <c r="I22" s="4">
        <f t="shared" si="0"/>
        <v>171.15625</v>
      </c>
      <c r="J22" s="9"/>
    </row>
    <row r="23" spans="1:10" x14ac:dyDescent="0.35">
      <c r="A23" s="16" t="s">
        <v>32</v>
      </c>
      <c r="B23" s="15">
        <v>3.125E-2</v>
      </c>
      <c r="C23" s="14">
        <f t="shared" si="1"/>
        <v>342.3125</v>
      </c>
      <c r="D23" s="4">
        <f t="shared" si="0"/>
        <v>3.4231250000000002</v>
      </c>
      <c r="E23" s="4">
        <f t="shared" si="0"/>
        <v>8.5578125000000007</v>
      </c>
      <c r="F23" s="4">
        <f t="shared" si="0"/>
        <v>17.115625000000001</v>
      </c>
      <c r="G23" s="4">
        <f t="shared" si="0"/>
        <v>42.7890625</v>
      </c>
      <c r="H23" s="4">
        <f t="shared" si="0"/>
        <v>85.578125</v>
      </c>
      <c r="I23" s="4">
        <f t="shared" si="0"/>
        <v>171.15625</v>
      </c>
      <c r="J23" s="9"/>
    </row>
    <row r="24" spans="1:10" x14ac:dyDescent="0.35">
      <c r="A24" s="16" t="s">
        <v>33</v>
      </c>
      <c r="B24" s="15">
        <v>3.125E-2</v>
      </c>
      <c r="C24" s="14">
        <f t="shared" si="1"/>
        <v>342.3125</v>
      </c>
      <c r="D24" s="4">
        <f t="shared" si="0"/>
        <v>3.4231250000000002</v>
      </c>
      <c r="E24" s="4">
        <f t="shared" si="0"/>
        <v>8.5578125000000007</v>
      </c>
      <c r="F24" s="4">
        <f t="shared" si="0"/>
        <v>17.115625000000001</v>
      </c>
      <c r="G24" s="4">
        <f t="shared" si="0"/>
        <v>42.7890625</v>
      </c>
      <c r="H24" s="4">
        <f t="shared" si="0"/>
        <v>85.578125</v>
      </c>
      <c r="I24" s="4">
        <f t="shared" si="0"/>
        <v>171.15625</v>
      </c>
      <c r="J24" s="9"/>
    </row>
    <row r="25" spans="1:10" x14ac:dyDescent="0.35">
      <c r="A25" s="16" t="s">
        <v>34</v>
      </c>
      <c r="B25" s="15">
        <v>3.125E-2</v>
      </c>
      <c r="C25" s="14">
        <f t="shared" si="1"/>
        <v>342.3125</v>
      </c>
      <c r="D25" s="4">
        <f t="shared" si="0"/>
        <v>3.4231250000000002</v>
      </c>
      <c r="E25" s="4">
        <f t="shared" si="0"/>
        <v>8.5578125000000007</v>
      </c>
      <c r="F25" s="4">
        <f t="shared" si="0"/>
        <v>17.115625000000001</v>
      </c>
      <c r="G25" s="4">
        <f t="shared" si="0"/>
        <v>42.7890625</v>
      </c>
      <c r="H25" s="4">
        <f t="shared" si="0"/>
        <v>85.578125</v>
      </c>
      <c r="I25" s="4">
        <f t="shared" si="0"/>
        <v>171.15625</v>
      </c>
      <c r="J25" s="9"/>
    </row>
    <row r="26" spans="1:10" x14ac:dyDescent="0.35">
      <c r="A26" s="16" t="s">
        <v>35</v>
      </c>
      <c r="B26" s="15">
        <v>3.125E-2</v>
      </c>
      <c r="C26" s="14">
        <f t="shared" si="1"/>
        <v>342.3125</v>
      </c>
      <c r="D26" s="4">
        <f t="shared" si="0"/>
        <v>3.4231250000000002</v>
      </c>
      <c r="E26" s="4">
        <f t="shared" si="0"/>
        <v>8.5578125000000007</v>
      </c>
      <c r="F26" s="4">
        <f t="shared" si="0"/>
        <v>17.115625000000001</v>
      </c>
      <c r="G26" s="4">
        <f t="shared" si="0"/>
        <v>42.7890625</v>
      </c>
      <c r="H26" s="4">
        <f t="shared" si="0"/>
        <v>85.578125</v>
      </c>
      <c r="I26" s="4">
        <f t="shared" si="0"/>
        <v>171.15625</v>
      </c>
      <c r="J26" s="9"/>
    </row>
    <row r="27" spans="1:10" x14ac:dyDescent="0.35">
      <c r="A27" s="16" t="s">
        <v>36</v>
      </c>
      <c r="B27" s="15">
        <v>3.125E-2</v>
      </c>
      <c r="C27" s="14">
        <f t="shared" si="1"/>
        <v>342.3125</v>
      </c>
      <c r="D27" s="4">
        <f t="shared" si="0"/>
        <v>3.4231250000000002</v>
      </c>
      <c r="E27" s="4">
        <f t="shared" si="0"/>
        <v>8.5578125000000007</v>
      </c>
      <c r="F27" s="4">
        <f t="shared" si="0"/>
        <v>17.115625000000001</v>
      </c>
      <c r="G27" s="4">
        <f t="shared" si="0"/>
        <v>42.7890625</v>
      </c>
      <c r="H27" s="4">
        <f t="shared" si="0"/>
        <v>85.578125</v>
      </c>
      <c r="I27" s="4">
        <f t="shared" si="0"/>
        <v>171.15625</v>
      </c>
      <c r="J27" s="9"/>
    </row>
    <row r="28" spans="1:10" x14ac:dyDescent="0.35">
      <c r="A28" s="16" t="s">
        <v>37</v>
      </c>
      <c r="B28" s="15">
        <v>3.125E-2</v>
      </c>
      <c r="C28" s="14">
        <f t="shared" si="1"/>
        <v>342.3125</v>
      </c>
      <c r="D28" s="4">
        <f t="shared" si="0"/>
        <v>3.4231250000000002</v>
      </c>
      <c r="E28" s="4">
        <f t="shared" si="0"/>
        <v>8.5578125000000007</v>
      </c>
      <c r="F28" s="4">
        <f t="shared" si="0"/>
        <v>17.115625000000001</v>
      </c>
      <c r="G28" s="4">
        <f t="shared" si="0"/>
        <v>42.7890625</v>
      </c>
      <c r="H28" s="4">
        <f t="shared" si="0"/>
        <v>85.578125</v>
      </c>
      <c r="I28" s="4">
        <f t="shared" si="0"/>
        <v>171.15625</v>
      </c>
      <c r="J28" s="9"/>
    </row>
    <row r="29" spans="1:10" x14ac:dyDescent="0.35">
      <c r="A29" s="16" t="s">
        <v>39</v>
      </c>
      <c r="B29" s="15">
        <v>3.125E-2</v>
      </c>
      <c r="C29" s="14">
        <f t="shared" si="1"/>
        <v>342.3125</v>
      </c>
      <c r="D29" s="4">
        <f t="shared" si="0"/>
        <v>3.4231250000000002</v>
      </c>
      <c r="E29" s="4">
        <f t="shared" si="0"/>
        <v>8.5578125000000007</v>
      </c>
      <c r="F29" s="4">
        <f t="shared" si="0"/>
        <v>17.115625000000001</v>
      </c>
      <c r="G29" s="4">
        <f t="shared" si="0"/>
        <v>42.7890625</v>
      </c>
      <c r="H29" s="4">
        <f t="shared" si="0"/>
        <v>85.578125</v>
      </c>
      <c r="I29" s="4">
        <f t="shared" si="0"/>
        <v>171.15625</v>
      </c>
      <c r="J29" s="9"/>
    </row>
    <row r="30" spans="1:10" x14ac:dyDescent="0.35">
      <c r="A30" s="16" t="s">
        <v>38</v>
      </c>
      <c r="B30" s="15">
        <v>3.125E-2</v>
      </c>
      <c r="C30" s="14">
        <f t="shared" si="1"/>
        <v>342.3125</v>
      </c>
      <c r="D30" s="4">
        <f t="shared" ref="D30:I44" si="2">$C30*(D$12/1000)/D$11</f>
        <v>3.4231250000000002</v>
      </c>
      <c r="E30" s="4">
        <f t="shared" si="2"/>
        <v>8.5578125000000007</v>
      </c>
      <c r="F30" s="4">
        <f t="shared" si="2"/>
        <v>17.115625000000001</v>
      </c>
      <c r="G30" s="4">
        <f t="shared" si="2"/>
        <v>42.7890625</v>
      </c>
      <c r="H30" s="4">
        <f t="shared" si="2"/>
        <v>85.578125</v>
      </c>
      <c r="I30" s="4">
        <f t="shared" si="2"/>
        <v>171.15625</v>
      </c>
      <c r="J30" s="9"/>
    </row>
    <row r="31" spans="1:10" x14ac:dyDescent="0.35">
      <c r="A31" s="16" t="s">
        <v>40</v>
      </c>
      <c r="B31" s="15">
        <v>3.125E-2</v>
      </c>
      <c r="C31" s="14">
        <f t="shared" si="1"/>
        <v>342.3125</v>
      </c>
      <c r="D31" s="4">
        <f t="shared" si="2"/>
        <v>3.4231250000000002</v>
      </c>
      <c r="E31" s="4">
        <f t="shared" si="2"/>
        <v>8.5578125000000007</v>
      </c>
      <c r="F31" s="4">
        <f t="shared" si="2"/>
        <v>17.115625000000001</v>
      </c>
      <c r="G31" s="4">
        <f t="shared" si="2"/>
        <v>42.7890625</v>
      </c>
      <c r="H31" s="4">
        <f t="shared" si="2"/>
        <v>85.578125</v>
      </c>
      <c r="I31" s="4">
        <f t="shared" si="2"/>
        <v>171.15625</v>
      </c>
      <c r="J31" s="9"/>
    </row>
    <row r="32" spans="1:10" x14ac:dyDescent="0.35">
      <c r="A32" s="16" t="s">
        <v>41</v>
      </c>
      <c r="B32" s="15">
        <v>3.125E-2</v>
      </c>
      <c r="C32" s="14">
        <f t="shared" si="1"/>
        <v>342.3125</v>
      </c>
      <c r="D32" s="4">
        <f t="shared" si="2"/>
        <v>3.4231250000000002</v>
      </c>
      <c r="E32" s="4">
        <f t="shared" si="2"/>
        <v>8.5578125000000007</v>
      </c>
      <c r="F32" s="4">
        <f t="shared" si="2"/>
        <v>17.115625000000001</v>
      </c>
      <c r="G32" s="4">
        <f t="shared" si="2"/>
        <v>42.7890625</v>
      </c>
      <c r="H32" s="4">
        <f t="shared" si="2"/>
        <v>85.578125</v>
      </c>
      <c r="I32" s="4">
        <f t="shared" si="2"/>
        <v>171.15625</v>
      </c>
      <c r="J32" s="9"/>
    </row>
    <row r="33" spans="1:10" x14ac:dyDescent="0.35">
      <c r="A33" s="16" t="s">
        <v>42</v>
      </c>
      <c r="B33" s="15">
        <v>3.125E-2</v>
      </c>
      <c r="C33" s="14">
        <f t="shared" si="1"/>
        <v>342.3125</v>
      </c>
      <c r="D33" s="4">
        <f t="shared" si="2"/>
        <v>3.4231250000000002</v>
      </c>
      <c r="E33" s="4">
        <f t="shared" si="2"/>
        <v>8.5578125000000007</v>
      </c>
      <c r="F33" s="4">
        <f t="shared" si="2"/>
        <v>17.115625000000001</v>
      </c>
      <c r="G33" s="4">
        <f t="shared" si="2"/>
        <v>42.7890625</v>
      </c>
      <c r="H33" s="4">
        <f t="shared" si="2"/>
        <v>85.578125</v>
      </c>
      <c r="I33" s="4">
        <f t="shared" si="2"/>
        <v>171.15625</v>
      </c>
      <c r="J33" s="9"/>
    </row>
    <row r="34" spans="1:10" x14ac:dyDescent="0.35">
      <c r="A34" s="16" t="s">
        <v>44</v>
      </c>
      <c r="B34" s="15">
        <v>3.125E-2</v>
      </c>
      <c r="C34" s="14">
        <f t="shared" si="1"/>
        <v>342.3125</v>
      </c>
      <c r="D34" s="4">
        <f t="shared" si="2"/>
        <v>3.4231250000000002</v>
      </c>
      <c r="E34" s="4">
        <f t="shared" si="2"/>
        <v>8.5578125000000007</v>
      </c>
      <c r="F34" s="4">
        <f t="shared" si="2"/>
        <v>17.115625000000001</v>
      </c>
      <c r="G34" s="4">
        <f t="shared" si="2"/>
        <v>42.7890625</v>
      </c>
      <c r="H34" s="4">
        <f t="shared" si="2"/>
        <v>85.578125</v>
      </c>
      <c r="I34" s="4">
        <f t="shared" si="2"/>
        <v>171.15625</v>
      </c>
      <c r="J34" s="9"/>
    </row>
    <row r="35" spans="1:10" x14ac:dyDescent="0.35">
      <c r="A35" s="16" t="s">
        <v>43</v>
      </c>
      <c r="B35" s="15">
        <v>3.125E-2</v>
      </c>
      <c r="C35" s="14">
        <f t="shared" si="1"/>
        <v>342.3125</v>
      </c>
      <c r="D35" s="4">
        <f t="shared" si="2"/>
        <v>3.4231250000000002</v>
      </c>
      <c r="E35" s="4">
        <f t="shared" si="2"/>
        <v>8.5578125000000007</v>
      </c>
      <c r="F35" s="4">
        <f t="shared" si="2"/>
        <v>17.115625000000001</v>
      </c>
      <c r="G35" s="4">
        <f t="shared" si="2"/>
        <v>42.7890625</v>
      </c>
      <c r="H35" s="4">
        <f t="shared" si="2"/>
        <v>85.578125</v>
      </c>
      <c r="I35" s="4">
        <f t="shared" si="2"/>
        <v>171.15625</v>
      </c>
      <c r="J35" s="9"/>
    </row>
    <row r="36" spans="1:10" x14ac:dyDescent="0.35">
      <c r="A36" s="16" t="s">
        <v>46</v>
      </c>
      <c r="B36" s="15">
        <v>3.125E-2</v>
      </c>
      <c r="C36" s="14">
        <f t="shared" si="1"/>
        <v>342.3125</v>
      </c>
      <c r="D36" s="4">
        <f t="shared" si="2"/>
        <v>3.4231250000000002</v>
      </c>
      <c r="E36" s="4">
        <f t="shared" si="2"/>
        <v>8.5578125000000007</v>
      </c>
      <c r="F36" s="4">
        <f t="shared" si="2"/>
        <v>17.115625000000001</v>
      </c>
      <c r="G36" s="4">
        <f t="shared" si="2"/>
        <v>42.7890625</v>
      </c>
      <c r="H36" s="4">
        <f t="shared" si="2"/>
        <v>85.578125</v>
      </c>
      <c r="I36" s="4">
        <f t="shared" si="2"/>
        <v>171.15625</v>
      </c>
      <c r="J36" s="9"/>
    </row>
    <row r="37" spans="1:10" x14ac:dyDescent="0.35">
      <c r="A37" s="16" t="s">
        <v>45</v>
      </c>
      <c r="B37" s="15">
        <v>3.125E-2</v>
      </c>
      <c r="C37" s="14">
        <f t="shared" si="1"/>
        <v>342.3125</v>
      </c>
      <c r="D37" s="4">
        <f t="shared" si="2"/>
        <v>3.4231250000000002</v>
      </c>
      <c r="E37" s="4">
        <f t="shared" si="2"/>
        <v>8.5578125000000007</v>
      </c>
      <c r="F37" s="4">
        <f t="shared" si="2"/>
        <v>17.115625000000001</v>
      </c>
      <c r="G37" s="4">
        <f t="shared" si="2"/>
        <v>42.7890625</v>
      </c>
      <c r="H37" s="4">
        <f t="shared" si="2"/>
        <v>85.578125</v>
      </c>
      <c r="I37" s="4">
        <f t="shared" si="2"/>
        <v>171.15625</v>
      </c>
      <c r="J37" s="9"/>
    </row>
    <row r="38" spans="1:10" x14ac:dyDescent="0.35">
      <c r="A38" s="16" t="s">
        <v>47</v>
      </c>
      <c r="B38" s="15">
        <v>3.125E-2</v>
      </c>
      <c r="C38" s="14">
        <f t="shared" si="1"/>
        <v>342.3125</v>
      </c>
      <c r="D38" s="4">
        <f t="shared" si="2"/>
        <v>3.4231250000000002</v>
      </c>
      <c r="E38" s="4">
        <f t="shared" si="2"/>
        <v>8.5578125000000007</v>
      </c>
      <c r="F38" s="4">
        <f t="shared" si="2"/>
        <v>17.115625000000001</v>
      </c>
      <c r="G38" s="4">
        <f t="shared" si="2"/>
        <v>42.7890625</v>
      </c>
      <c r="H38" s="4">
        <f t="shared" si="2"/>
        <v>85.578125</v>
      </c>
      <c r="I38" s="4">
        <f t="shared" si="2"/>
        <v>171.15625</v>
      </c>
      <c r="J38" s="9"/>
    </row>
    <row r="39" spans="1:10" x14ac:dyDescent="0.35">
      <c r="A39" s="16" t="s">
        <v>48</v>
      </c>
      <c r="B39" s="15">
        <v>3.125E-2</v>
      </c>
      <c r="C39" s="14">
        <f t="shared" si="1"/>
        <v>342.3125</v>
      </c>
      <c r="D39" s="4">
        <f t="shared" si="2"/>
        <v>3.4231250000000002</v>
      </c>
      <c r="E39" s="4">
        <f t="shared" si="2"/>
        <v>8.5578125000000007</v>
      </c>
      <c r="F39" s="4">
        <f t="shared" si="2"/>
        <v>17.115625000000001</v>
      </c>
      <c r="G39" s="4">
        <f t="shared" si="2"/>
        <v>42.7890625</v>
      </c>
      <c r="H39" s="4">
        <f t="shared" si="2"/>
        <v>85.578125</v>
      </c>
      <c r="I39" s="4">
        <f t="shared" si="2"/>
        <v>171.15625</v>
      </c>
      <c r="J39" s="9"/>
    </row>
    <row r="40" spans="1:10" x14ac:dyDescent="0.35">
      <c r="A40" s="16" t="s">
        <v>49</v>
      </c>
      <c r="B40" s="15">
        <v>3.125E-2</v>
      </c>
      <c r="C40" s="14">
        <f t="shared" si="1"/>
        <v>342.3125</v>
      </c>
      <c r="D40" s="4">
        <f t="shared" si="2"/>
        <v>3.4231250000000002</v>
      </c>
      <c r="E40" s="4">
        <f t="shared" si="2"/>
        <v>8.5578125000000007</v>
      </c>
      <c r="F40" s="4">
        <f t="shared" si="2"/>
        <v>17.115625000000001</v>
      </c>
      <c r="G40" s="4">
        <f t="shared" si="2"/>
        <v>42.7890625</v>
      </c>
      <c r="H40" s="4">
        <f t="shared" si="2"/>
        <v>85.578125</v>
      </c>
      <c r="I40" s="4">
        <f t="shared" si="2"/>
        <v>171.15625</v>
      </c>
      <c r="J40" s="9"/>
    </row>
    <row r="41" spans="1:10" x14ac:dyDescent="0.35">
      <c r="A41" s="16" t="s">
        <v>50</v>
      </c>
      <c r="B41" s="15">
        <v>3.125E-2</v>
      </c>
      <c r="C41" s="14">
        <f t="shared" si="1"/>
        <v>342.3125</v>
      </c>
      <c r="D41" s="4">
        <f t="shared" si="2"/>
        <v>3.4231250000000002</v>
      </c>
      <c r="E41" s="4">
        <f t="shared" si="2"/>
        <v>8.5578125000000007</v>
      </c>
      <c r="F41" s="4">
        <f t="shared" si="2"/>
        <v>17.115625000000001</v>
      </c>
      <c r="G41" s="4">
        <f t="shared" si="2"/>
        <v>42.7890625</v>
      </c>
      <c r="H41" s="4">
        <f t="shared" si="2"/>
        <v>85.578125</v>
      </c>
      <c r="I41" s="4">
        <f t="shared" si="2"/>
        <v>171.15625</v>
      </c>
      <c r="J41" s="9"/>
    </row>
    <row r="42" spans="1:10" x14ac:dyDescent="0.35">
      <c r="A42" s="16" t="s">
        <v>51</v>
      </c>
      <c r="B42" s="15">
        <v>3.125E-2</v>
      </c>
      <c r="C42" s="14">
        <f t="shared" si="1"/>
        <v>342.3125</v>
      </c>
      <c r="D42" s="4">
        <f t="shared" si="2"/>
        <v>3.4231250000000002</v>
      </c>
      <c r="E42" s="4">
        <f t="shared" si="2"/>
        <v>8.5578125000000007</v>
      </c>
      <c r="F42" s="4">
        <f t="shared" si="2"/>
        <v>17.115625000000001</v>
      </c>
      <c r="G42" s="4">
        <f t="shared" si="2"/>
        <v>42.7890625</v>
      </c>
      <c r="H42" s="4">
        <f t="shared" si="2"/>
        <v>85.578125</v>
      </c>
      <c r="I42" s="4">
        <f t="shared" si="2"/>
        <v>171.15625</v>
      </c>
      <c r="J42" s="9"/>
    </row>
    <row r="43" spans="1:10" x14ac:dyDescent="0.35">
      <c r="A43" s="16" t="s">
        <v>58</v>
      </c>
      <c r="B43" s="15">
        <v>3.125E-2</v>
      </c>
      <c r="C43" s="14">
        <f t="shared" si="1"/>
        <v>342.3125</v>
      </c>
      <c r="D43" s="4">
        <f t="shared" si="2"/>
        <v>3.4231250000000002</v>
      </c>
      <c r="E43" s="4">
        <f t="shared" si="2"/>
        <v>8.5578125000000007</v>
      </c>
      <c r="F43" s="4">
        <f t="shared" si="2"/>
        <v>17.115625000000001</v>
      </c>
      <c r="G43" s="4">
        <f t="shared" si="2"/>
        <v>42.7890625</v>
      </c>
      <c r="H43" s="4">
        <f t="shared" si="2"/>
        <v>85.578125</v>
      </c>
      <c r="I43" s="4">
        <f t="shared" si="2"/>
        <v>171.15625</v>
      </c>
      <c r="J43" s="9"/>
    </row>
    <row r="44" spans="1:10" x14ac:dyDescent="0.35">
      <c r="A44" s="16" t="s">
        <v>26</v>
      </c>
      <c r="B44" s="15">
        <v>3.125E-2</v>
      </c>
      <c r="C44" s="14">
        <f t="shared" si="1"/>
        <v>342.3125</v>
      </c>
      <c r="D44" s="4">
        <f t="shared" si="2"/>
        <v>3.4231250000000002</v>
      </c>
      <c r="E44" s="4">
        <f t="shared" si="2"/>
        <v>8.5578125000000007</v>
      </c>
      <c r="F44" s="4">
        <f t="shared" si="2"/>
        <v>17.115625000000001</v>
      </c>
      <c r="G44" s="4">
        <f t="shared" si="2"/>
        <v>42.7890625</v>
      </c>
      <c r="H44" s="4">
        <f t="shared" si="2"/>
        <v>85.578125</v>
      </c>
      <c r="I44" s="4">
        <f t="shared" si="2"/>
        <v>171.15625</v>
      </c>
      <c r="J44" s="9"/>
    </row>
  </sheetData>
  <mergeCells count="4">
    <mergeCell ref="B4:C4"/>
    <mergeCell ref="B5:C5"/>
    <mergeCell ref="B6:C6"/>
    <mergeCell ref="A10:I1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4C4C5-D03E-4D78-BD4F-C0D79D66F29F}">
  <sheetPr>
    <tabColor theme="9"/>
  </sheetPr>
  <dimension ref="A1:J44"/>
  <sheetViews>
    <sheetView workbookViewId="0">
      <selection activeCell="B8" sqref="B8"/>
    </sheetView>
  </sheetViews>
  <sheetFormatPr defaultRowHeight="14.5" x14ac:dyDescent="0.35"/>
  <cols>
    <col min="1" max="1" width="45.54296875" bestFit="1" customWidth="1"/>
    <col min="2" max="2" width="20.6328125" style="1" bestFit="1" customWidth="1"/>
    <col min="3" max="3" width="22.54296875" customWidth="1"/>
    <col min="10" max="10" width="14.7265625" bestFit="1" customWidth="1"/>
  </cols>
  <sheetData>
    <row r="1" spans="1:10" ht="18.5" x14ac:dyDescent="0.45">
      <c r="A1" s="6" t="s">
        <v>8</v>
      </c>
      <c r="B1" s="24" t="s">
        <v>119</v>
      </c>
    </row>
    <row r="2" spans="1:10" ht="18.5" x14ac:dyDescent="0.45">
      <c r="A2" s="6" t="s">
        <v>7</v>
      </c>
      <c r="B2" s="10">
        <v>45987</v>
      </c>
    </row>
    <row r="3" spans="1:10" ht="18.5" x14ac:dyDescent="0.45">
      <c r="A3" s="6" t="s">
        <v>13</v>
      </c>
      <c r="B3" s="23" t="s">
        <v>21</v>
      </c>
    </row>
    <row r="4" spans="1:10" ht="18.5" x14ac:dyDescent="0.45">
      <c r="A4" s="6" t="s">
        <v>12</v>
      </c>
      <c r="B4" s="21" t="s">
        <v>92</v>
      </c>
      <c r="C4" s="21"/>
    </row>
    <row r="5" spans="1:10" ht="18.5" x14ac:dyDescent="0.45">
      <c r="A5" s="6" t="s">
        <v>11</v>
      </c>
      <c r="B5" s="21" t="s">
        <v>6</v>
      </c>
      <c r="C5" s="21"/>
    </row>
    <row r="6" spans="1:10" ht="18.5" x14ac:dyDescent="0.45">
      <c r="A6" s="6" t="s">
        <v>14</v>
      </c>
      <c r="B6" s="21" t="s">
        <v>6</v>
      </c>
      <c r="C6" s="21"/>
    </row>
    <row r="7" spans="1:10" x14ac:dyDescent="0.35">
      <c r="A7" s="5" t="s">
        <v>2</v>
      </c>
      <c r="B7" s="13">
        <v>10.954000000000001</v>
      </c>
      <c r="C7" t="s">
        <v>3</v>
      </c>
    </row>
    <row r="8" spans="1:10" x14ac:dyDescent="0.35">
      <c r="A8" s="5" t="s">
        <v>4</v>
      </c>
      <c r="B8" s="24">
        <v>5</v>
      </c>
      <c r="C8" s="8" t="s">
        <v>5</v>
      </c>
    </row>
    <row r="9" spans="1:10" x14ac:dyDescent="0.35">
      <c r="A9" s="5"/>
      <c r="B9" s="12"/>
      <c r="C9" s="11"/>
    </row>
    <row r="10" spans="1:10" x14ac:dyDescent="0.35">
      <c r="A10" s="22" t="s">
        <v>18</v>
      </c>
      <c r="B10" s="22"/>
      <c r="C10" s="22"/>
      <c r="D10" s="22"/>
      <c r="E10" s="22"/>
      <c r="F10" s="22"/>
      <c r="G10" s="22"/>
      <c r="H10" s="22"/>
      <c r="I10" s="22"/>
    </row>
    <row r="11" spans="1:10" x14ac:dyDescent="0.35">
      <c r="A11" s="5"/>
      <c r="C11" s="7" t="s">
        <v>10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</row>
    <row r="12" spans="1:10" x14ac:dyDescent="0.35">
      <c r="A12" s="5"/>
      <c r="C12" s="7" t="s">
        <v>9</v>
      </c>
      <c r="D12" s="13">
        <v>10</v>
      </c>
      <c r="E12" s="13">
        <v>25</v>
      </c>
      <c r="F12" s="13">
        <v>50</v>
      </c>
      <c r="G12" s="13">
        <v>125</v>
      </c>
      <c r="H12" s="13">
        <v>250</v>
      </c>
      <c r="I12" s="13">
        <v>500</v>
      </c>
    </row>
    <row r="13" spans="1:10" s="2" customFormat="1" ht="27" customHeight="1" x14ac:dyDescent="0.35">
      <c r="A13" s="2" t="s">
        <v>1</v>
      </c>
      <c r="B13" s="2" t="s">
        <v>0</v>
      </c>
      <c r="C13" s="3" t="s">
        <v>15</v>
      </c>
      <c r="D13" s="17" t="s">
        <v>52</v>
      </c>
      <c r="E13" s="17" t="s">
        <v>53</v>
      </c>
      <c r="F13" s="17" t="s">
        <v>54</v>
      </c>
      <c r="G13" s="17" t="s">
        <v>55</v>
      </c>
      <c r="H13" s="17" t="s">
        <v>56</v>
      </c>
      <c r="I13" s="17" t="s">
        <v>57</v>
      </c>
      <c r="J13" s="3"/>
    </row>
    <row r="14" spans="1:10" x14ac:dyDescent="0.35">
      <c r="A14" s="16" t="s">
        <v>23</v>
      </c>
      <c r="B14" s="15">
        <v>3.125E-2</v>
      </c>
      <c r="C14" s="14">
        <f>B14*B$7*1000</f>
        <v>342.3125</v>
      </c>
      <c r="D14" s="4">
        <f>$C14*(D$12/1000)/D$11</f>
        <v>3.4231250000000002</v>
      </c>
      <c r="E14" s="4">
        <f>$C14*(E$12/1000)/E$11</f>
        <v>8.5578125000000007</v>
      </c>
      <c r="F14" s="4">
        <f t="shared" ref="D14:I29" si="0">$C14*(F$12/1000)/F$11</f>
        <v>17.115625000000001</v>
      </c>
      <c r="G14" s="4">
        <f t="shared" si="0"/>
        <v>42.7890625</v>
      </c>
      <c r="H14" s="4">
        <f t="shared" si="0"/>
        <v>85.578125</v>
      </c>
      <c r="I14" s="4">
        <f t="shared" si="0"/>
        <v>171.15625</v>
      </c>
      <c r="J14" s="9"/>
    </row>
    <row r="15" spans="1:10" x14ac:dyDescent="0.35">
      <c r="A15" s="16" t="s">
        <v>22</v>
      </c>
      <c r="B15" s="15">
        <v>3.125E-2</v>
      </c>
      <c r="C15" s="14">
        <f t="shared" ref="C15:C44" si="1">B15*B$7*1000</f>
        <v>342.3125</v>
      </c>
      <c r="D15" s="4">
        <f t="shared" si="0"/>
        <v>3.4231250000000002</v>
      </c>
      <c r="E15" s="4">
        <f t="shared" si="0"/>
        <v>8.5578125000000007</v>
      </c>
      <c r="F15" s="4">
        <f t="shared" si="0"/>
        <v>17.115625000000001</v>
      </c>
      <c r="G15" s="4">
        <f t="shared" si="0"/>
        <v>42.7890625</v>
      </c>
      <c r="H15" s="4">
        <f t="shared" si="0"/>
        <v>85.578125</v>
      </c>
      <c r="I15" s="4">
        <f t="shared" si="0"/>
        <v>171.15625</v>
      </c>
      <c r="J15" s="9"/>
    </row>
    <row r="16" spans="1:10" x14ac:dyDescent="0.35">
      <c r="A16" s="16" t="s">
        <v>24</v>
      </c>
      <c r="B16" s="15">
        <v>3.125E-2</v>
      </c>
      <c r="C16" s="14">
        <f t="shared" si="1"/>
        <v>342.3125</v>
      </c>
      <c r="D16" s="4">
        <f t="shared" si="0"/>
        <v>3.4231250000000002</v>
      </c>
      <c r="E16" s="4">
        <f t="shared" si="0"/>
        <v>8.5578125000000007</v>
      </c>
      <c r="F16" s="4">
        <f t="shared" si="0"/>
        <v>17.115625000000001</v>
      </c>
      <c r="G16" s="4">
        <f t="shared" si="0"/>
        <v>42.7890625</v>
      </c>
      <c r="H16" s="4">
        <f t="shared" si="0"/>
        <v>85.578125</v>
      </c>
      <c r="I16" s="4">
        <f t="shared" si="0"/>
        <v>171.15625</v>
      </c>
      <c r="J16" s="9"/>
    </row>
    <row r="17" spans="1:10" x14ac:dyDescent="0.35">
      <c r="A17" s="16" t="s">
        <v>25</v>
      </c>
      <c r="B17" s="15">
        <v>3.125E-2</v>
      </c>
      <c r="C17" s="14">
        <f t="shared" si="1"/>
        <v>342.3125</v>
      </c>
      <c r="D17" s="4">
        <f t="shared" si="0"/>
        <v>3.4231250000000002</v>
      </c>
      <c r="E17" s="4">
        <f t="shared" si="0"/>
        <v>8.5578125000000007</v>
      </c>
      <c r="F17" s="4">
        <f t="shared" si="0"/>
        <v>17.115625000000001</v>
      </c>
      <c r="G17" s="4">
        <f t="shared" si="0"/>
        <v>42.7890625</v>
      </c>
      <c r="H17" s="4">
        <f t="shared" si="0"/>
        <v>85.578125</v>
      </c>
      <c r="I17" s="4">
        <f t="shared" si="0"/>
        <v>171.15625</v>
      </c>
      <c r="J17" s="9"/>
    </row>
    <row r="18" spans="1:10" x14ac:dyDescent="0.35">
      <c r="A18" s="16" t="s">
        <v>27</v>
      </c>
      <c r="B18" s="15">
        <v>3.125E-2</v>
      </c>
      <c r="C18" s="14">
        <f t="shared" si="1"/>
        <v>342.3125</v>
      </c>
      <c r="D18" s="4">
        <f t="shared" si="0"/>
        <v>3.4231250000000002</v>
      </c>
      <c r="E18" s="4">
        <f t="shared" si="0"/>
        <v>8.5578125000000007</v>
      </c>
      <c r="F18" s="4">
        <f t="shared" si="0"/>
        <v>17.115625000000001</v>
      </c>
      <c r="G18" s="4">
        <f t="shared" si="0"/>
        <v>42.7890625</v>
      </c>
      <c r="H18" s="4">
        <f t="shared" si="0"/>
        <v>85.578125</v>
      </c>
      <c r="I18" s="4">
        <f t="shared" si="0"/>
        <v>171.15625</v>
      </c>
      <c r="J18" s="9"/>
    </row>
    <row r="19" spans="1:10" x14ac:dyDescent="0.35">
      <c r="A19" s="16" t="s">
        <v>28</v>
      </c>
      <c r="B19" s="15">
        <v>3.125E-2</v>
      </c>
      <c r="C19" s="14">
        <f t="shared" si="1"/>
        <v>342.3125</v>
      </c>
      <c r="D19" s="4">
        <f t="shared" si="0"/>
        <v>3.4231250000000002</v>
      </c>
      <c r="E19" s="4">
        <f t="shared" si="0"/>
        <v>8.5578125000000007</v>
      </c>
      <c r="F19" s="4">
        <f t="shared" si="0"/>
        <v>17.115625000000001</v>
      </c>
      <c r="G19" s="4">
        <f t="shared" si="0"/>
        <v>42.7890625</v>
      </c>
      <c r="H19" s="4">
        <f t="shared" si="0"/>
        <v>85.578125</v>
      </c>
      <c r="I19" s="4">
        <f t="shared" si="0"/>
        <v>171.15625</v>
      </c>
      <c r="J19" s="9"/>
    </row>
    <row r="20" spans="1:10" x14ac:dyDescent="0.35">
      <c r="A20" s="16" t="s">
        <v>29</v>
      </c>
      <c r="B20" s="15">
        <v>3.125E-2</v>
      </c>
      <c r="C20" s="14">
        <f t="shared" si="1"/>
        <v>342.3125</v>
      </c>
      <c r="D20" s="4">
        <f t="shared" si="0"/>
        <v>3.4231250000000002</v>
      </c>
      <c r="E20" s="4">
        <f t="shared" si="0"/>
        <v>8.5578125000000007</v>
      </c>
      <c r="F20" s="4">
        <f t="shared" si="0"/>
        <v>17.115625000000001</v>
      </c>
      <c r="G20" s="4">
        <f t="shared" si="0"/>
        <v>42.7890625</v>
      </c>
      <c r="H20" s="4">
        <f t="shared" si="0"/>
        <v>85.578125</v>
      </c>
      <c r="I20" s="4">
        <f t="shared" si="0"/>
        <v>171.15625</v>
      </c>
      <c r="J20" s="9"/>
    </row>
    <row r="21" spans="1:10" x14ac:dyDescent="0.35">
      <c r="A21" s="16" t="s">
        <v>30</v>
      </c>
      <c r="B21" s="15">
        <v>3.125E-2</v>
      </c>
      <c r="C21" s="14">
        <f t="shared" si="1"/>
        <v>342.3125</v>
      </c>
      <c r="D21" s="4">
        <f t="shared" si="0"/>
        <v>3.4231250000000002</v>
      </c>
      <c r="E21" s="4">
        <f t="shared" si="0"/>
        <v>8.5578125000000007</v>
      </c>
      <c r="F21" s="4">
        <f t="shared" si="0"/>
        <v>17.115625000000001</v>
      </c>
      <c r="G21" s="4">
        <f t="shared" si="0"/>
        <v>42.7890625</v>
      </c>
      <c r="H21" s="4">
        <f t="shared" si="0"/>
        <v>85.578125</v>
      </c>
      <c r="I21" s="4">
        <f t="shared" si="0"/>
        <v>171.15625</v>
      </c>
      <c r="J21" s="9"/>
    </row>
    <row r="22" spans="1:10" x14ac:dyDescent="0.35">
      <c r="A22" s="16" t="s">
        <v>31</v>
      </c>
      <c r="B22" s="15">
        <v>3.125E-2</v>
      </c>
      <c r="C22" s="14">
        <f t="shared" si="1"/>
        <v>342.3125</v>
      </c>
      <c r="D22" s="4">
        <f t="shared" si="0"/>
        <v>3.4231250000000002</v>
      </c>
      <c r="E22" s="4">
        <f t="shared" si="0"/>
        <v>8.5578125000000007</v>
      </c>
      <c r="F22" s="4">
        <f t="shared" si="0"/>
        <v>17.115625000000001</v>
      </c>
      <c r="G22" s="4">
        <f t="shared" si="0"/>
        <v>42.7890625</v>
      </c>
      <c r="H22" s="4">
        <f t="shared" si="0"/>
        <v>85.578125</v>
      </c>
      <c r="I22" s="4">
        <f t="shared" si="0"/>
        <v>171.15625</v>
      </c>
      <c r="J22" s="9"/>
    </row>
    <row r="23" spans="1:10" x14ac:dyDescent="0.35">
      <c r="A23" s="16" t="s">
        <v>32</v>
      </c>
      <c r="B23" s="15">
        <v>3.125E-2</v>
      </c>
      <c r="C23" s="14">
        <f t="shared" si="1"/>
        <v>342.3125</v>
      </c>
      <c r="D23" s="4">
        <f t="shared" si="0"/>
        <v>3.4231250000000002</v>
      </c>
      <c r="E23" s="4">
        <f t="shared" si="0"/>
        <v>8.5578125000000007</v>
      </c>
      <c r="F23" s="4">
        <f t="shared" si="0"/>
        <v>17.115625000000001</v>
      </c>
      <c r="G23" s="4">
        <f t="shared" si="0"/>
        <v>42.7890625</v>
      </c>
      <c r="H23" s="4">
        <f t="shared" si="0"/>
        <v>85.578125</v>
      </c>
      <c r="I23" s="4">
        <f t="shared" si="0"/>
        <v>171.15625</v>
      </c>
      <c r="J23" s="9"/>
    </row>
    <row r="24" spans="1:10" x14ac:dyDescent="0.35">
      <c r="A24" s="16" t="s">
        <v>33</v>
      </c>
      <c r="B24" s="15">
        <v>3.125E-2</v>
      </c>
      <c r="C24" s="14">
        <f t="shared" si="1"/>
        <v>342.3125</v>
      </c>
      <c r="D24" s="4">
        <f t="shared" si="0"/>
        <v>3.4231250000000002</v>
      </c>
      <c r="E24" s="4">
        <f t="shared" si="0"/>
        <v>8.5578125000000007</v>
      </c>
      <c r="F24" s="4">
        <f t="shared" si="0"/>
        <v>17.115625000000001</v>
      </c>
      <c r="G24" s="4">
        <f t="shared" si="0"/>
        <v>42.7890625</v>
      </c>
      <c r="H24" s="4">
        <f t="shared" si="0"/>
        <v>85.578125</v>
      </c>
      <c r="I24" s="4">
        <f t="shared" si="0"/>
        <v>171.15625</v>
      </c>
      <c r="J24" s="9"/>
    </row>
    <row r="25" spans="1:10" x14ac:dyDescent="0.35">
      <c r="A25" s="16" t="s">
        <v>34</v>
      </c>
      <c r="B25" s="15">
        <v>3.125E-2</v>
      </c>
      <c r="C25" s="14">
        <f t="shared" si="1"/>
        <v>342.3125</v>
      </c>
      <c r="D25" s="4">
        <f t="shared" si="0"/>
        <v>3.4231250000000002</v>
      </c>
      <c r="E25" s="4">
        <f t="shared" si="0"/>
        <v>8.5578125000000007</v>
      </c>
      <c r="F25" s="4">
        <f t="shared" si="0"/>
        <v>17.115625000000001</v>
      </c>
      <c r="G25" s="4">
        <f t="shared" si="0"/>
        <v>42.7890625</v>
      </c>
      <c r="H25" s="4">
        <f t="shared" si="0"/>
        <v>85.578125</v>
      </c>
      <c r="I25" s="4">
        <f t="shared" si="0"/>
        <v>171.15625</v>
      </c>
      <c r="J25" s="9"/>
    </row>
    <row r="26" spans="1:10" x14ac:dyDescent="0.35">
      <c r="A26" s="16" t="s">
        <v>35</v>
      </c>
      <c r="B26" s="15">
        <v>3.125E-2</v>
      </c>
      <c r="C26" s="14">
        <f t="shared" si="1"/>
        <v>342.3125</v>
      </c>
      <c r="D26" s="4">
        <f t="shared" si="0"/>
        <v>3.4231250000000002</v>
      </c>
      <c r="E26" s="4">
        <f t="shared" si="0"/>
        <v>8.5578125000000007</v>
      </c>
      <c r="F26" s="4">
        <f t="shared" si="0"/>
        <v>17.115625000000001</v>
      </c>
      <c r="G26" s="4">
        <f t="shared" si="0"/>
        <v>42.7890625</v>
      </c>
      <c r="H26" s="4">
        <f t="shared" si="0"/>
        <v>85.578125</v>
      </c>
      <c r="I26" s="4">
        <f t="shared" si="0"/>
        <v>171.15625</v>
      </c>
      <c r="J26" s="9"/>
    </row>
    <row r="27" spans="1:10" x14ac:dyDescent="0.35">
      <c r="A27" s="16" t="s">
        <v>36</v>
      </c>
      <c r="B27" s="15">
        <v>3.125E-2</v>
      </c>
      <c r="C27" s="14">
        <f t="shared" si="1"/>
        <v>342.3125</v>
      </c>
      <c r="D27" s="4">
        <f t="shared" si="0"/>
        <v>3.4231250000000002</v>
      </c>
      <c r="E27" s="4">
        <f t="shared" si="0"/>
        <v>8.5578125000000007</v>
      </c>
      <c r="F27" s="4">
        <f t="shared" si="0"/>
        <v>17.115625000000001</v>
      </c>
      <c r="G27" s="4">
        <f t="shared" si="0"/>
        <v>42.7890625</v>
      </c>
      <c r="H27" s="4">
        <f t="shared" si="0"/>
        <v>85.578125</v>
      </c>
      <c r="I27" s="4">
        <f t="shared" si="0"/>
        <v>171.15625</v>
      </c>
      <c r="J27" s="9"/>
    </row>
    <row r="28" spans="1:10" x14ac:dyDescent="0.35">
      <c r="A28" s="16" t="s">
        <v>37</v>
      </c>
      <c r="B28" s="15">
        <v>3.125E-2</v>
      </c>
      <c r="C28" s="14">
        <f t="shared" si="1"/>
        <v>342.3125</v>
      </c>
      <c r="D28" s="4">
        <f t="shared" si="0"/>
        <v>3.4231250000000002</v>
      </c>
      <c r="E28" s="4">
        <f t="shared" si="0"/>
        <v>8.5578125000000007</v>
      </c>
      <c r="F28" s="4">
        <f t="shared" si="0"/>
        <v>17.115625000000001</v>
      </c>
      <c r="G28" s="4">
        <f t="shared" si="0"/>
        <v>42.7890625</v>
      </c>
      <c r="H28" s="4">
        <f t="shared" si="0"/>
        <v>85.578125</v>
      </c>
      <c r="I28" s="4">
        <f t="shared" si="0"/>
        <v>171.15625</v>
      </c>
      <c r="J28" s="9"/>
    </row>
    <row r="29" spans="1:10" x14ac:dyDescent="0.35">
      <c r="A29" s="16" t="s">
        <v>39</v>
      </c>
      <c r="B29" s="15">
        <v>3.125E-2</v>
      </c>
      <c r="C29" s="14">
        <f t="shared" si="1"/>
        <v>342.3125</v>
      </c>
      <c r="D29" s="4">
        <f t="shared" si="0"/>
        <v>3.4231250000000002</v>
      </c>
      <c r="E29" s="4">
        <f t="shared" si="0"/>
        <v>8.5578125000000007</v>
      </c>
      <c r="F29" s="4">
        <f t="shared" si="0"/>
        <v>17.115625000000001</v>
      </c>
      <c r="G29" s="4">
        <f t="shared" si="0"/>
        <v>42.7890625</v>
      </c>
      <c r="H29" s="4">
        <f t="shared" si="0"/>
        <v>85.578125</v>
      </c>
      <c r="I29" s="4">
        <f t="shared" si="0"/>
        <v>171.15625</v>
      </c>
      <c r="J29" s="9"/>
    </row>
    <row r="30" spans="1:10" x14ac:dyDescent="0.35">
      <c r="A30" s="16" t="s">
        <v>38</v>
      </c>
      <c r="B30" s="15">
        <v>3.125E-2</v>
      </c>
      <c r="C30" s="14">
        <f t="shared" si="1"/>
        <v>342.3125</v>
      </c>
      <c r="D30" s="4">
        <f t="shared" ref="D30:I44" si="2">$C30*(D$12/1000)/D$11</f>
        <v>3.4231250000000002</v>
      </c>
      <c r="E30" s="4">
        <f t="shared" si="2"/>
        <v>8.5578125000000007</v>
      </c>
      <c r="F30" s="4">
        <f t="shared" si="2"/>
        <v>17.115625000000001</v>
      </c>
      <c r="G30" s="4">
        <f t="shared" si="2"/>
        <v>42.7890625</v>
      </c>
      <c r="H30" s="4">
        <f t="shared" si="2"/>
        <v>85.578125</v>
      </c>
      <c r="I30" s="4">
        <f t="shared" si="2"/>
        <v>171.15625</v>
      </c>
      <c r="J30" s="9"/>
    </row>
    <row r="31" spans="1:10" x14ac:dyDescent="0.35">
      <c r="A31" s="16" t="s">
        <v>40</v>
      </c>
      <c r="B31" s="15">
        <v>3.125E-2</v>
      </c>
      <c r="C31" s="14">
        <f t="shared" si="1"/>
        <v>342.3125</v>
      </c>
      <c r="D31" s="4">
        <f t="shared" si="2"/>
        <v>3.4231250000000002</v>
      </c>
      <c r="E31" s="4">
        <f t="shared" si="2"/>
        <v>8.5578125000000007</v>
      </c>
      <c r="F31" s="4">
        <f t="shared" si="2"/>
        <v>17.115625000000001</v>
      </c>
      <c r="G31" s="4">
        <f t="shared" si="2"/>
        <v>42.7890625</v>
      </c>
      <c r="H31" s="4">
        <f t="shared" si="2"/>
        <v>85.578125</v>
      </c>
      <c r="I31" s="4">
        <f t="shared" si="2"/>
        <v>171.15625</v>
      </c>
      <c r="J31" s="9"/>
    </row>
    <row r="32" spans="1:10" x14ac:dyDescent="0.35">
      <c r="A32" s="16" t="s">
        <v>41</v>
      </c>
      <c r="B32" s="15">
        <v>3.125E-2</v>
      </c>
      <c r="C32" s="14">
        <f t="shared" si="1"/>
        <v>342.3125</v>
      </c>
      <c r="D32" s="4">
        <f t="shared" si="2"/>
        <v>3.4231250000000002</v>
      </c>
      <c r="E32" s="4">
        <f t="shared" si="2"/>
        <v>8.5578125000000007</v>
      </c>
      <c r="F32" s="4">
        <f t="shared" si="2"/>
        <v>17.115625000000001</v>
      </c>
      <c r="G32" s="4">
        <f t="shared" si="2"/>
        <v>42.7890625</v>
      </c>
      <c r="H32" s="4">
        <f t="shared" si="2"/>
        <v>85.578125</v>
      </c>
      <c r="I32" s="4">
        <f t="shared" si="2"/>
        <v>171.15625</v>
      </c>
      <c r="J32" s="9"/>
    </row>
    <row r="33" spans="1:10" x14ac:dyDescent="0.35">
      <c r="A33" s="16" t="s">
        <v>42</v>
      </c>
      <c r="B33" s="15">
        <v>3.125E-2</v>
      </c>
      <c r="C33" s="14">
        <f t="shared" si="1"/>
        <v>342.3125</v>
      </c>
      <c r="D33" s="4">
        <f t="shared" si="2"/>
        <v>3.4231250000000002</v>
      </c>
      <c r="E33" s="4">
        <f t="shared" si="2"/>
        <v>8.5578125000000007</v>
      </c>
      <c r="F33" s="4">
        <f t="shared" si="2"/>
        <v>17.115625000000001</v>
      </c>
      <c r="G33" s="4">
        <f t="shared" si="2"/>
        <v>42.7890625</v>
      </c>
      <c r="H33" s="4">
        <f t="shared" si="2"/>
        <v>85.578125</v>
      </c>
      <c r="I33" s="4">
        <f t="shared" si="2"/>
        <v>171.15625</v>
      </c>
      <c r="J33" s="9"/>
    </row>
    <row r="34" spans="1:10" x14ac:dyDescent="0.35">
      <c r="A34" s="16" t="s">
        <v>44</v>
      </c>
      <c r="B34" s="15">
        <v>3.125E-2</v>
      </c>
      <c r="C34" s="14">
        <f t="shared" si="1"/>
        <v>342.3125</v>
      </c>
      <c r="D34" s="4">
        <f t="shared" si="2"/>
        <v>3.4231250000000002</v>
      </c>
      <c r="E34" s="4">
        <f t="shared" si="2"/>
        <v>8.5578125000000007</v>
      </c>
      <c r="F34" s="4">
        <f t="shared" si="2"/>
        <v>17.115625000000001</v>
      </c>
      <c r="G34" s="4">
        <f t="shared" si="2"/>
        <v>42.7890625</v>
      </c>
      <c r="H34" s="4">
        <f t="shared" si="2"/>
        <v>85.578125</v>
      </c>
      <c r="I34" s="4">
        <f t="shared" si="2"/>
        <v>171.15625</v>
      </c>
      <c r="J34" s="9"/>
    </row>
    <row r="35" spans="1:10" x14ac:dyDescent="0.35">
      <c r="A35" s="16" t="s">
        <v>43</v>
      </c>
      <c r="B35" s="15">
        <v>3.125E-2</v>
      </c>
      <c r="C35" s="14">
        <f t="shared" si="1"/>
        <v>342.3125</v>
      </c>
      <c r="D35" s="4">
        <f t="shared" si="2"/>
        <v>3.4231250000000002</v>
      </c>
      <c r="E35" s="4">
        <f t="shared" si="2"/>
        <v>8.5578125000000007</v>
      </c>
      <c r="F35" s="4">
        <f t="shared" si="2"/>
        <v>17.115625000000001</v>
      </c>
      <c r="G35" s="4">
        <f t="shared" si="2"/>
        <v>42.7890625</v>
      </c>
      <c r="H35" s="4">
        <f t="shared" si="2"/>
        <v>85.578125</v>
      </c>
      <c r="I35" s="4">
        <f t="shared" si="2"/>
        <v>171.15625</v>
      </c>
      <c r="J35" s="9"/>
    </row>
    <row r="36" spans="1:10" x14ac:dyDescent="0.35">
      <c r="A36" s="16" t="s">
        <v>46</v>
      </c>
      <c r="B36" s="15">
        <v>3.125E-2</v>
      </c>
      <c r="C36" s="14">
        <f t="shared" si="1"/>
        <v>342.3125</v>
      </c>
      <c r="D36" s="4">
        <f t="shared" si="2"/>
        <v>3.4231250000000002</v>
      </c>
      <c r="E36" s="4">
        <f t="shared" si="2"/>
        <v>8.5578125000000007</v>
      </c>
      <c r="F36" s="4">
        <f t="shared" si="2"/>
        <v>17.115625000000001</v>
      </c>
      <c r="G36" s="4">
        <f t="shared" si="2"/>
        <v>42.7890625</v>
      </c>
      <c r="H36" s="4">
        <f t="shared" si="2"/>
        <v>85.578125</v>
      </c>
      <c r="I36" s="4">
        <f t="shared" si="2"/>
        <v>171.15625</v>
      </c>
      <c r="J36" s="9"/>
    </row>
    <row r="37" spans="1:10" x14ac:dyDescent="0.35">
      <c r="A37" s="16" t="s">
        <v>45</v>
      </c>
      <c r="B37" s="15">
        <v>3.125E-2</v>
      </c>
      <c r="C37" s="14">
        <f t="shared" si="1"/>
        <v>342.3125</v>
      </c>
      <c r="D37" s="4">
        <f t="shared" si="2"/>
        <v>3.4231250000000002</v>
      </c>
      <c r="E37" s="4">
        <f t="shared" si="2"/>
        <v>8.5578125000000007</v>
      </c>
      <c r="F37" s="4">
        <f t="shared" si="2"/>
        <v>17.115625000000001</v>
      </c>
      <c r="G37" s="4">
        <f t="shared" si="2"/>
        <v>42.7890625</v>
      </c>
      <c r="H37" s="4">
        <f t="shared" si="2"/>
        <v>85.578125</v>
      </c>
      <c r="I37" s="4">
        <f t="shared" si="2"/>
        <v>171.15625</v>
      </c>
      <c r="J37" s="9"/>
    </row>
    <row r="38" spans="1:10" x14ac:dyDescent="0.35">
      <c r="A38" s="16" t="s">
        <v>47</v>
      </c>
      <c r="B38" s="15">
        <v>3.125E-2</v>
      </c>
      <c r="C38" s="14">
        <f t="shared" si="1"/>
        <v>342.3125</v>
      </c>
      <c r="D38" s="4">
        <f t="shared" si="2"/>
        <v>3.4231250000000002</v>
      </c>
      <c r="E38" s="4">
        <f t="shared" si="2"/>
        <v>8.5578125000000007</v>
      </c>
      <c r="F38" s="4">
        <f t="shared" si="2"/>
        <v>17.115625000000001</v>
      </c>
      <c r="G38" s="4">
        <f t="shared" si="2"/>
        <v>42.7890625</v>
      </c>
      <c r="H38" s="4">
        <f t="shared" si="2"/>
        <v>85.578125</v>
      </c>
      <c r="I38" s="4">
        <f t="shared" si="2"/>
        <v>171.15625</v>
      </c>
      <c r="J38" s="9"/>
    </row>
    <row r="39" spans="1:10" x14ac:dyDescent="0.35">
      <c r="A39" s="16" t="s">
        <v>48</v>
      </c>
      <c r="B39" s="15">
        <v>3.125E-2</v>
      </c>
      <c r="C39" s="14">
        <f t="shared" si="1"/>
        <v>342.3125</v>
      </c>
      <c r="D39" s="4">
        <f t="shared" si="2"/>
        <v>3.4231250000000002</v>
      </c>
      <c r="E39" s="4">
        <f t="shared" si="2"/>
        <v>8.5578125000000007</v>
      </c>
      <c r="F39" s="4">
        <f t="shared" si="2"/>
        <v>17.115625000000001</v>
      </c>
      <c r="G39" s="4">
        <f t="shared" si="2"/>
        <v>42.7890625</v>
      </c>
      <c r="H39" s="4">
        <f t="shared" si="2"/>
        <v>85.578125</v>
      </c>
      <c r="I39" s="4">
        <f t="shared" si="2"/>
        <v>171.15625</v>
      </c>
      <c r="J39" s="9"/>
    </row>
    <row r="40" spans="1:10" x14ac:dyDescent="0.35">
      <c r="A40" s="16" t="s">
        <v>49</v>
      </c>
      <c r="B40" s="15">
        <v>3.125E-2</v>
      </c>
      <c r="C40" s="14">
        <f t="shared" si="1"/>
        <v>342.3125</v>
      </c>
      <c r="D40" s="4">
        <f t="shared" si="2"/>
        <v>3.4231250000000002</v>
      </c>
      <c r="E40" s="4">
        <f t="shared" si="2"/>
        <v>8.5578125000000007</v>
      </c>
      <c r="F40" s="4">
        <f t="shared" si="2"/>
        <v>17.115625000000001</v>
      </c>
      <c r="G40" s="4">
        <f t="shared" si="2"/>
        <v>42.7890625</v>
      </c>
      <c r="H40" s="4">
        <f t="shared" si="2"/>
        <v>85.578125</v>
      </c>
      <c r="I40" s="4">
        <f t="shared" si="2"/>
        <v>171.15625</v>
      </c>
      <c r="J40" s="9"/>
    </row>
    <row r="41" spans="1:10" x14ac:dyDescent="0.35">
      <c r="A41" s="16" t="s">
        <v>50</v>
      </c>
      <c r="B41" s="15">
        <v>3.125E-2</v>
      </c>
      <c r="C41" s="14">
        <f t="shared" si="1"/>
        <v>342.3125</v>
      </c>
      <c r="D41" s="4">
        <f t="shared" si="2"/>
        <v>3.4231250000000002</v>
      </c>
      <c r="E41" s="4">
        <f t="shared" si="2"/>
        <v>8.5578125000000007</v>
      </c>
      <c r="F41" s="4">
        <f t="shared" si="2"/>
        <v>17.115625000000001</v>
      </c>
      <c r="G41" s="4">
        <f t="shared" si="2"/>
        <v>42.7890625</v>
      </c>
      <c r="H41" s="4">
        <f t="shared" si="2"/>
        <v>85.578125</v>
      </c>
      <c r="I41" s="4">
        <f t="shared" si="2"/>
        <v>171.15625</v>
      </c>
      <c r="J41" s="9"/>
    </row>
    <row r="42" spans="1:10" x14ac:dyDescent="0.35">
      <c r="A42" s="16" t="s">
        <v>51</v>
      </c>
      <c r="B42" s="15">
        <v>3.125E-2</v>
      </c>
      <c r="C42" s="14">
        <f t="shared" si="1"/>
        <v>342.3125</v>
      </c>
      <c r="D42" s="4">
        <f t="shared" si="2"/>
        <v>3.4231250000000002</v>
      </c>
      <c r="E42" s="4">
        <f t="shared" si="2"/>
        <v>8.5578125000000007</v>
      </c>
      <c r="F42" s="4">
        <f t="shared" si="2"/>
        <v>17.115625000000001</v>
      </c>
      <c r="G42" s="4">
        <f t="shared" si="2"/>
        <v>42.7890625</v>
      </c>
      <c r="H42" s="4">
        <f t="shared" si="2"/>
        <v>85.578125</v>
      </c>
      <c r="I42" s="4">
        <f t="shared" si="2"/>
        <v>171.15625</v>
      </c>
      <c r="J42" s="9"/>
    </row>
    <row r="43" spans="1:10" x14ac:dyDescent="0.35">
      <c r="A43" s="16" t="s">
        <v>58</v>
      </c>
      <c r="B43" s="15">
        <v>3.125E-2</v>
      </c>
      <c r="C43" s="14">
        <f t="shared" si="1"/>
        <v>342.3125</v>
      </c>
      <c r="D43" s="4">
        <f t="shared" si="2"/>
        <v>3.4231250000000002</v>
      </c>
      <c r="E43" s="4">
        <f t="shared" si="2"/>
        <v>8.5578125000000007</v>
      </c>
      <c r="F43" s="4">
        <f t="shared" si="2"/>
        <v>17.115625000000001</v>
      </c>
      <c r="G43" s="4">
        <f t="shared" si="2"/>
        <v>42.7890625</v>
      </c>
      <c r="H43" s="4">
        <f t="shared" si="2"/>
        <v>85.578125</v>
      </c>
      <c r="I43" s="4">
        <f t="shared" si="2"/>
        <v>171.15625</v>
      </c>
      <c r="J43" s="9"/>
    </row>
    <row r="44" spans="1:10" x14ac:dyDescent="0.35">
      <c r="A44" s="16" t="s">
        <v>26</v>
      </c>
      <c r="B44" s="15">
        <v>3.125E-2</v>
      </c>
      <c r="C44" s="14">
        <f t="shared" si="1"/>
        <v>342.3125</v>
      </c>
      <c r="D44" s="4">
        <f t="shared" si="2"/>
        <v>3.4231250000000002</v>
      </c>
      <c r="E44" s="4">
        <f t="shared" si="2"/>
        <v>8.5578125000000007</v>
      </c>
      <c r="F44" s="4">
        <f t="shared" si="2"/>
        <v>17.115625000000001</v>
      </c>
      <c r="G44" s="4">
        <f t="shared" si="2"/>
        <v>42.7890625</v>
      </c>
      <c r="H44" s="4">
        <f t="shared" si="2"/>
        <v>85.578125</v>
      </c>
      <c r="I44" s="4">
        <f t="shared" si="2"/>
        <v>171.15625</v>
      </c>
      <c r="J44" s="9"/>
    </row>
  </sheetData>
  <mergeCells count="4">
    <mergeCell ref="B4:C4"/>
    <mergeCell ref="B5:C5"/>
    <mergeCell ref="B6:C6"/>
    <mergeCell ref="A10:I10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C6EA-765D-4141-8357-2ACC4896CE22}">
  <sheetPr>
    <tabColor rgb="FFFFC000"/>
  </sheetPr>
  <dimension ref="A1:B45"/>
  <sheetViews>
    <sheetView tabSelected="1" workbookViewId="0">
      <selection activeCell="B28" sqref="B28"/>
    </sheetView>
  </sheetViews>
  <sheetFormatPr defaultRowHeight="14.5" x14ac:dyDescent="0.35"/>
  <cols>
    <col min="1" max="2" width="47" bestFit="1" customWidth="1"/>
  </cols>
  <sheetData>
    <row r="1" spans="1:2" s="19" customFormat="1" ht="15.5" x14ac:dyDescent="0.35">
      <c r="A1" s="18" t="s">
        <v>59</v>
      </c>
      <c r="B1" s="18" t="s">
        <v>60</v>
      </c>
    </row>
    <row r="2" spans="1:2" x14ac:dyDescent="0.35">
      <c r="A2" s="16" t="s">
        <v>23</v>
      </c>
      <c r="B2" t="s">
        <v>61</v>
      </c>
    </row>
    <row r="3" spans="1:2" x14ac:dyDescent="0.35">
      <c r="A3" s="16" t="s">
        <v>22</v>
      </c>
      <c r="B3" t="s">
        <v>62</v>
      </c>
    </row>
    <row r="4" spans="1:2" x14ac:dyDescent="0.35">
      <c r="A4" s="16" t="s">
        <v>24</v>
      </c>
      <c r="B4" t="s">
        <v>63</v>
      </c>
    </row>
    <row r="5" spans="1:2" x14ac:dyDescent="0.35">
      <c r="A5" s="16" t="s">
        <v>25</v>
      </c>
      <c r="B5" t="s">
        <v>64</v>
      </c>
    </row>
    <row r="6" spans="1:2" x14ac:dyDescent="0.35">
      <c r="A6" s="16" t="s">
        <v>27</v>
      </c>
      <c r="B6" t="s">
        <v>65</v>
      </c>
    </row>
    <row r="7" spans="1:2" x14ac:dyDescent="0.35">
      <c r="A7" s="16" t="s">
        <v>28</v>
      </c>
      <c r="B7" t="s">
        <v>66</v>
      </c>
    </row>
    <row r="8" spans="1:2" x14ac:dyDescent="0.35">
      <c r="A8" s="16" t="s">
        <v>29</v>
      </c>
      <c r="B8" t="s">
        <v>67</v>
      </c>
    </row>
    <row r="9" spans="1:2" x14ac:dyDescent="0.35">
      <c r="A9" s="16" t="s">
        <v>30</v>
      </c>
      <c r="B9" t="s">
        <v>68</v>
      </c>
    </row>
    <row r="10" spans="1:2" x14ac:dyDescent="0.35">
      <c r="A10" s="16" t="s">
        <v>31</v>
      </c>
      <c r="B10" t="s">
        <v>69</v>
      </c>
    </row>
    <row r="11" spans="1:2" x14ac:dyDescent="0.35">
      <c r="A11" s="16" t="s">
        <v>32</v>
      </c>
      <c r="B11" t="s">
        <v>73</v>
      </c>
    </row>
    <row r="12" spans="1:2" x14ac:dyDescent="0.35">
      <c r="A12" s="16" t="s">
        <v>33</v>
      </c>
      <c r="B12" t="s">
        <v>70</v>
      </c>
    </row>
    <row r="13" spans="1:2" x14ac:dyDescent="0.35">
      <c r="A13" s="16" t="s">
        <v>34</v>
      </c>
      <c r="B13" t="s">
        <v>72</v>
      </c>
    </row>
    <row r="14" spans="1:2" x14ac:dyDescent="0.35">
      <c r="A14" s="16" t="s">
        <v>35</v>
      </c>
      <c r="B14" t="s">
        <v>71</v>
      </c>
    </row>
    <row r="15" spans="1:2" x14ac:dyDescent="0.35">
      <c r="A15" s="16" t="s">
        <v>36</v>
      </c>
      <c r="B15" t="s">
        <v>74</v>
      </c>
    </row>
    <row r="16" spans="1:2" x14ac:dyDescent="0.35">
      <c r="A16" s="16" t="s">
        <v>37</v>
      </c>
      <c r="B16" t="s">
        <v>82</v>
      </c>
    </row>
    <row r="17" spans="1:2" x14ac:dyDescent="0.35">
      <c r="A17" s="16" t="s">
        <v>39</v>
      </c>
      <c r="B17" t="s">
        <v>83</v>
      </c>
    </row>
    <row r="18" spans="1:2" x14ac:dyDescent="0.35">
      <c r="A18" s="16" t="s">
        <v>38</v>
      </c>
      <c r="B18" t="s">
        <v>84</v>
      </c>
    </row>
    <row r="19" spans="1:2" x14ac:dyDescent="0.35">
      <c r="A19" s="16" t="s">
        <v>40</v>
      </c>
      <c r="B19" t="s">
        <v>75</v>
      </c>
    </row>
    <row r="20" spans="1:2" x14ac:dyDescent="0.35">
      <c r="A20" s="16" t="s">
        <v>41</v>
      </c>
      <c r="B20" t="s">
        <v>77</v>
      </c>
    </row>
    <row r="21" spans="1:2" x14ac:dyDescent="0.35">
      <c r="A21" s="16" t="s">
        <v>42</v>
      </c>
      <c r="B21" t="s">
        <v>85</v>
      </c>
    </row>
    <row r="22" spans="1:2" x14ac:dyDescent="0.35">
      <c r="A22" s="16" t="s">
        <v>44</v>
      </c>
      <c r="B22" t="s">
        <v>86</v>
      </c>
    </row>
    <row r="23" spans="1:2" x14ac:dyDescent="0.35">
      <c r="A23" s="16" t="s">
        <v>43</v>
      </c>
      <c r="B23" t="s">
        <v>87</v>
      </c>
    </row>
    <row r="24" spans="1:2" x14ac:dyDescent="0.35">
      <c r="A24" s="16" t="s">
        <v>46</v>
      </c>
      <c r="B24" t="s">
        <v>88</v>
      </c>
    </row>
    <row r="25" spans="1:2" x14ac:dyDescent="0.35">
      <c r="A25" s="16" t="s">
        <v>45</v>
      </c>
      <c r="B25" t="s">
        <v>89</v>
      </c>
    </row>
    <row r="26" spans="1:2" x14ac:dyDescent="0.35">
      <c r="A26" s="16" t="s">
        <v>47</v>
      </c>
      <c r="B26" t="s">
        <v>76</v>
      </c>
    </row>
    <row r="27" spans="1:2" x14ac:dyDescent="0.35">
      <c r="A27" s="16" t="s">
        <v>48</v>
      </c>
      <c r="B27" t="s">
        <v>79</v>
      </c>
    </row>
    <row r="28" spans="1:2" x14ac:dyDescent="0.35">
      <c r="A28" s="16" t="s">
        <v>49</v>
      </c>
      <c r="B28" t="s">
        <v>80</v>
      </c>
    </row>
    <row r="29" spans="1:2" x14ac:dyDescent="0.35">
      <c r="A29" s="16" t="s">
        <v>50</v>
      </c>
      <c r="B29" t="s">
        <v>90</v>
      </c>
    </row>
    <row r="30" spans="1:2" x14ac:dyDescent="0.35">
      <c r="A30" s="16" t="s">
        <v>51</v>
      </c>
      <c r="B30" t="s">
        <v>91</v>
      </c>
    </row>
    <row r="31" spans="1:2" x14ac:dyDescent="0.35">
      <c r="A31" s="16" t="s">
        <v>58</v>
      </c>
      <c r="B31" t="s">
        <v>78</v>
      </c>
    </row>
    <row r="32" spans="1:2" x14ac:dyDescent="0.35">
      <c r="A32" s="16" t="s">
        <v>26</v>
      </c>
      <c r="B32" t="s">
        <v>81</v>
      </c>
    </row>
    <row r="33" spans="1:2" x14ac:dyDescent="0.35">
      <c r="A33" s="20" t="s">
        <v>93</v>
      </c>
      <c r="B33" t="s">
        <v>101</v>
      </c>
    </row>
    <row r="34" spans="1:2" x14ac:dyDescent="0.35">
      <c r="A34" s="20" t="s">
        <v>94</v>
      </c>
      <c r="B34" t="s">
        <v>102</v>
      </c>
    </row>
    <row r="35" spans="1:2" x14ac:dyDescent="0.35">
      <c r="A35" s="20" t="s">
        <v>95</v>
      </c>
      <c r="B35" t="s">
        <v>103</v>
      </c>
    </row>
    <row r="36" spans="1:2" x14ac:dyDescent="0.35">
      <c r="A36" s="20" t="s">
        <v>96</v>
      </c>
      <c r="B36" t="s">
        <v>104</v>
      </c>
    </row>
    <row r="37" spans="1:2" x14ac:dyDescent="0.35">
      <c r="A37" s="20" t="s">
        <v>97</v>
      </c>
      <c r="B37" t="s">
        <v>105</v>
      </c>
    </row>
    <row r="38" spans="1:2" x14ac:dyDescent="0.35">
      <c r="A38" s="20" t="s">
        <v>98</v>
      </c>
      <c r="B38" t="s">
        <v>106</v>
      </c>
    </row>
    <row r="39" spans="1:2" x14ac:dyDescent="0.35">
      <c r="A39" s="20" t="s">
        <v>99</v>
      </c>
      <c r="B39" t="s">
        <v>107</v>
      </c>
    </row>
    <row r="40" spans="1:2" x14ac:dyDescent="0.35">
      <c r="A40" s="20" t="s">
        <v>100</v>
      </c>
      <c r="B40" t="s">
        <v>108</v>
      </c>
    </row>
    <row r="41" spans="1:2" x14ac:dyDescent="0.35">
      <c r="A41" s="20" t="s">
        <v>109</v>
      </c>
      <c r="B41" t="s">
        <v>115</v>
      </c>
    </row>
    <row r="42" spans="1:2" x14ac:dyDescent="0.35">
      <c r="A42" s="20" t="s">
        <v>110</v>
      </c>
      <c r="B42" t="s">
        <v>116</v>
      </c>
    </row>
    <row r="43" spans="1:2" x14ac:dyDescent="0.35">
      <c r="A43" s="20" t="s">
        <v>113</v>
      </c>
      <c r="B43" t="s">
        <v>117</v>
      </c>
    </row>
    <row r="44" spans="1:2" x14ac:dyDescent="0.35">
      <c r="A44" s="20" t="s">
        <v>111</v>
      </c>
      <c r="B44" t="s">
        <v>112</v>
      </c>
    </row>
    <row r="45" spans="1:2" x14ac:dyDescent="0.35">
      <c r="A45" s="20" t="s">
        <v>114</v>
      </c>
      <c r="B4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FAME_08152025</vt:lpstr>
      <vt:lpstr>FAME_11202025</vt:lpstr>
      <vt:lpstr>FAME_11262025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Ale-Enriquez, Fuad</dc:creator>
  <cp:lastModifiedBy>Ale-Enriquez, Fuad</cp:lastModifiedBy>
  <dcterms:created xsi:type="dcterms:W3CDTF">2025-06-18T22:20:14Z</dcterms:created>
  <dcterms:modified xsi:type="dcterms:W3CDTF">2026-05-15T20:59:19Z</dcterms:modified>
</cp:coreProperties>
</file>