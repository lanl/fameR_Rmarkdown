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4567\Desktop\Research folder\Data science\R Projects\fameR_Rmarkdown\example_data\"/>
    </mc:Choice>
  </mc:AlternateContent>
  <xr:revisionPtr revIDLastSave="0" documentId="8_{6782DE94-BD9B-46CD-A957-BA3F0224C66A}" xr6:coauthVersionLast="47" xr6:coauthVersionMax="47" xr10:uidLastSave="{00000000-0000-0000-0000-000000000000}"/>
  <bookViews>
    <workbookView xWindow="1056" yWindow="-15708" windowWidth="19176" windowHeight="11256" xr2:uid="{2B508537-60D5-4011-88D0-BC4F90B27897}"/>
  </bookViews>
  <sheets>
    <sheet name="FAME Me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7" i="1" l="1"/>
  <c r="A117" i="1"/>
  <c r="O116" i="1"/>
  <c r="A116" i="1"/>
  <c r="O115" i="1"/>
  <c r="A115" i="1"/>
  <c r="O114" i="1"/>
  <c r="A114" i="1"/>
  <c r="O113" i="1"/>
  <c r="A113" i="1"/>
  <c r="O112" i="1"/>
  <c r="A112" i="1"/>
  <c r="O111" i="1"/>
  <c r="A111" i="1"/>
  <c r="O110" i="1"/>
  <c r="A110" i="1"/>
  <c r="O109" i="1"/>
  <c r="A109" i="1"/>
  <c r="O108" i="1"/>
  <c r="A108" i="1"/>
  <c r="O107" i="1"/>
  <c r="A107" i="1"/>
  <c r="O106" i="1"/>
  <c r="A106" i="1"/>
  <c r="O105" i="1"/>
  <c r="A105" i="1"/>
  <c r="O104" i="1"/>
  <c r="A104" i="1"/>
  <c r="O103" i="1"/>
  <c r="A103" i="1"/>
  <c r="O102" i="1"/>
  <c r="A102" i="1"/>
  <c r="O101" i="1"/>
  <c r="A101" i="1"/>
  <c r="O100" i="1"/>
  <c r="A100" i="1"/>
  <c r="O99" i="1"/>
  <c r="A99" i="1"/>
  <c r="O98" i="1"/>
  <c r="A98" i="1"/>
  <c r="O97" i="1"/>
  <c r="A97" i="1"/>
  <c r="O96" i="1"/>
  <c r="A96" i="1"/>
  <c r="O95" i="1"/>
  <c r="A95" i="1"/>
  <c r="O94" i="1"/>
  <c r="A94" i="1"/>
  <c r="O93" i="1"/>
  <c r="A93" i="1"/>
  <c r="O92" i="1"/>
  <c r="A92" i="1"/>
  <c r="O91" i="1"/>
  <c r="A91" i="1"/>
  <c r="O90" i="1"/>
  <c r="A90" i="1"/>
  <c r="O89" i="1"/>
  <c r="A89" i="1"/>
  <c r="O88" i="1"/>
  <c r="A88" i="1"/>
  <c r="O87" i="1"/>
  <c r="A87" i="1"/>
  <c r="O86" i="1"/>
  <c r="A86" i="1"/>
  <c r="O85" i="1"/>
  <c r="A85" i="1"/>
  <c r="O84" i="1"/>
  <c r="A84" i="1"/>
  <c r="O83" i="1"/>
  <c r="A83" i="1"/>
  <c r="O82" i="1"/>
  <c r="A82" i="1"/>
  <c r="O81" i="1"/>
  <c r="A81" i="1"/>
  <c r="O80" i="1"/>
  <c r="A80" i="1"/>
  <c r="O79" i="1"/>
  <c r="A79" i="1"/>
  <c r="O78" i="1"/>
  <c r="A78" i="1"/>
  <c r="O77" i="1"/>
  <c r="A77" i="1"/>
  <c r="O76" i="1"/>
  <c r="A76" i="1"/>
  <c r="O75" i="1"/>
  <c r="A75" i="1"/>
  <c r="O74" i="1"/>
  <c r="A74" i="1"/>
  <c r="O73" i="1"/>
  <c r="A73" i="1"/>
  <c r="O72" i="1"/>
  <c r="A72" i="1"/>
  <c r="O71" i="1"/>
  <c r="A71" i="1"/>
  <c r="O70" i="1"/>
  <c r="A70" i="1"/>
  <c r="O69" i="1"/>
  <c r="A69" i="1"/>
  <c r="O68" i="1"/>
  <c r="A68" i="1"/>
  <c r="O67" i="1"/>
  <c r="A67" i="1"/>
  <c r="O66" i="1"/>
  <c r="A66" i="1"/>
  <c r="O65" i="1"/>
  <c r="A65" i="1"/>
  <c r="O64" i="1"/>
  <c r="A64" i="1"/>
  <c r="O63" i="1"/>
  <c r="A63" i="1"/>
  <c r="O62" i="1"/>
  <c r="A62" i="1"/>
  <c r="O61" i="1"/>
  <c r="A61" i="1"/>
  <c r="O60" i="1"/>
  <c r="A60" i="1"/>
  <c r="O59" i="1"/>
  <c r="A59" i="1"/>
  <c r="O58" i="1"/>
  <c r="A58" i="1"/>
  <c r="O57" i="1"/>
  <c r="A57" i="1"/>
  <c r="O56" i="1"/>
  <c r="A56" i="1"/>
  <c r="O55" i="1"/>
  <c r="A55" i="1"/>
  <c r="O54" i="1"/>
  <c r="A54" i="1"/>
  <c r="O53" i="1"/>
  <c r="A53" i="1"/>
  <c r="O52" i="1"/>
  <c r="A52" i="1"/>
  <c r="O51" i="1"/>
  <c r="A51" i="1"/>
  <c r="O50" i="1"/>
  <c r="A50" i="1"/>
  <c r="O49" i="1"/>
  <c r="A49" i="1"/>
  <c r="O48" i="1"/>
  <c r="A48" i="1"/>
  <c r="O47" i="1"/>
  <c r="A47" i="1"/>
  <c r="O46" i="1"/>
  <c r="A46" i="1"/>
  <c r="O45" i="1"/>
  <c r="A45" i="1"/>
  <c r="O44" i="1"/>
  <c r="A44" i="1"/>
  <c r="O43" i="1"/>
  <c r="A43" i="1"/>
  <c r="O42" i="1"/>
  <c r="A42" i="1"/>
  <c r="O41" i="1"/>
  <c r="A41" i="1"/>
  <c r="O40" i="1"/>
  <c r="A40" i="1"/>
  <c r="O39" i="1"/>
  <c r="A39" i="1"/>
  <c r="O38" i="1"/>
  <c r="A38" i="1"/>
  <c r="O37" i="1"/>
  <c r="A37" i="1"/>
  <c r="O36" i="1"/>
  <c r="A36" i="1"/>
  <c r="O35" i="1"/>
  <c r="A35" i="1"/>
  <c r="O34" i="1"/>
  <c r="A34" i="1"/>
  <c r="O33" i="1"/>
  <c r="A33" i="1"/>
  <c r="O32" i="1"/>
  <c r="A32" i="1"/>
  <c r="O31" i="1"/>
  <c r="A31" i="1"/>
  <c r="O30" i="1"/>
  <c r="A30" i="1"/>
  <c r="O29" i="1"/>
  <c r="A29" i="1"/>
  <c r="O28" i="1"/>
  <c r="A28" i="1"/>
  <c r="O27" i="1"/>
  <c r="A27" i="1"/>
  <c r="O26" i="1"/>
  <c r="A26" i="1"/>
  <c r="O25" i="1"/>
  <c r="A25" i="1"/>
  <c r="O24" i="1"/>
  <c r="A24" i="1"/>
  <c r="O23" i="1"/>
  <c r="A23" i="1"/>
  <c r="O22" i="1"/>
  <c r="A22" i="1"/>
  <c r="O21" i="1"/>
  <c r="A21" i="1"/>
  <c r="O20" i="1"/>
  <c r="A20" i="1"/>
  <c r="O19" i="1"/>
  <c r="A19" i="1"/>
  <c r="O18" i="1"/>
  <c r="A18" i="1"/>
  <c r="O17" i="1"/>
  <c r="A17" i="1"/>
  <c r="O16" i="1"/>
  <c r="A16" i="1"/>
  <c r="O15" i="1"/>
  <c r="A15" i="1"/>
  <c r="O14" i="1"/>
  <c r="A14" i="1"/>
  <c r="O13" i="1"/>
  <c r="A13" i="1"/>
  <c r="O12" i="1"/>
  <c r="A12" i="1"/>
  <c r="O11" i="1"/>
  <c r="A11" i="1"/>
  <c r="O10" i="1"/>
  <c r="A10" i="1"/>
  <c r="O9" i="1"/>
  <c r="A9" i="1"/>
  <c r="O8" i="1"/>
  <c r="A8" i="1"/>
  <c r="O7" i="1"/>
  <c r="A7" i="1"/>
  <c r="O6" i="1"/>
  <c r="A6" i="1"/>
  <c r="O5" i="1"/>
  <c r="A5" i="1"/>
  <c r="O4" i="1"/>
  <c r="A4" i="1"/>
  <c r="O3" i="1"/>
  <c r="A3" i="1"/>
</calcChain>
</file>

<file path=xl/sharedStrings.xml><?xml version="1.0" encoding="utf-8"?>
<sst xmlns="http://schemas.openxmlformats.org/spreadsheetml/2006/main" count="733" uniqueCount="187">
  <si>
    <t>Sample information</t>
  </si>
  <si>
    <t>Gravimetric part</t>
  </si>
  <si>
    <t>Experiment_ID</t>
  </si>
  <si>
    <t>Sample_ID</t>
  </si>
  <si>
    <t>Date_Collected</t>
  </si>
  <si>
    <t>KineticTime_d</t>
  </si>
  <si>
    <t>Reactor_ID</t>
  </si>
  <si>
    <t>Source</t>
  </si>
  <si>
    <t>Block</t>
  </si>
  <si>
    <t>Date_analyzed</t>
  </si>
  <si>
    <t>Sequence_ID</t>
  </si>
  <si>
    <t>Injection_ID</t>
  </si>
  <si>
    <t>Vial_tag</t>
  </si>
  <si>
    <t>EmptyVial_mass_mg</t>
  </si>
  <si>
    <t>InitialSampleMass_mg</t>
  </si>
  <si>
    <t>DryMass_mg</t>
  </si>
  <si>
    <t>DrySample_mg</t>
  </si>
  <si>
    <t>ExtractantUsed_mL</t>
  </si>
  <si>
    <t>QC1</t>
  </si>
  <si>
    <t>NA</t>
  </si>
  <si>
    <t>NREL</t>
  </si>
  <si>
    <t>QC</t>
  </si>
  <si>
    <t>QC2</t>
  </si>
  <si>
    <t>QC3</t>
  </si>
  <si>
    <t>A1</t>
  </si>
  <si>
    <t>ePBR LANL</t>
  </si>
  <si>
    <t>Ndesiccata1</t>
  </si>
  <si>
    <t>A2</t>
  </si>
  <si>
    <t>Ndesiccata2</t>
  </si>
  <si>
    <t>A3</t>
  </si>
  <si>
    <t>Ndesiccata3</t>
  </si>
  <si>
    <t>B2</t>
  </si>
  <si>
    <t>Ndesiccata4</t>
  </si>
  <si>
    <t>B1</t>
  </si>
  <si>
    <t>Ndesiccata5</t>
  </si>
  <si>
    <t>Ndesiccata6</t>
  </si>
  <si>
    <t>Ndesiccata7</t>
  </si>
  <si>
    <t>Ndesiccata8</t>
  </si>
  <si>
    <t>Ndesiccata9</t>
  </si>
  <si>
    <t>Ndesiccata10</t>
  </si>
  <si>
    <t>Ndesiccata11</t>
  </si>
  <si>
    <t>Ndesiccata12</t>
  </si>
  <si>
    <t>Ndesiccata13</t>
  </si>
  <si>
    <t>Ndesiccata14</t>
  </si>
  <si>
    <t>Ndesiccata15</t>
  </si>
  <si>
    <t>Ndesiccata16</t>
  </si>
  <si>
    <t>Ndesiccata17</t>
  </si>
  <si>
    <t>Ndesiccata18</t>
  </si>
  <si>
    <t>B3</t>
  </si>
  <si>
    <t>Ndesiccata19</t>
  </si>
  <si>
    <t>A4</t>
  </si>
  <si>
    <t>B4</t>
  </si>
  <si>
    <t>Ndesiccata20</t>
  </si>
  <si>
    <t>Ndesiccata21</t>
  </si>
  <si>
    <t>Ndesiccata22</t>
  </si>
  <si>
    <t>Ndesiccata23</t>
  </si>
  <si>
    <t>Ndesiccata24</t>
  </si>
  <si>
    <t>Ndesiccata25</t>
  </si>
  <si>
    <t>Ndesiccata26</t>
  </si>
  <si>
    <t>Ndesiccata27</t>
  </si>
  <si>
    <t>Ndesiccata28</t>
  </si>
  <si>
    <t>Ndesiccata29</t>
  </si>
  <si>
    <t>Ndesiccata30</t>
  </si>
  <si>
    <t>Ndesiccata31</t>
  </si>
  <si>
    <t>Ndesiccata32</t>
  </si>
  <si>
    <t>0.4 OD</t>
  </si>
  <si>
    <t>0.8 OD</t>
  </si>
  <si>
    <t>28A1 desOD1</t>
  </si>
  <si>
    <t>FAME_08152025</t>
  </si>
  <si>
    <t>28A2 desOD1</t>
  </si>
  <si>
    <t>28A3 desOD1</t>
  </si>
  <si>
    <t>28A4 desOD1</t>
  </si>
  <si>
    <t>28B1 desOD1</t>
  </si>
  <si>
    <t>28B2 desOD1</t>
  </si>
  <si>
    <t>28B3 desOD1</t>
  </si>
  <si>
    <t>28B4 desOD1</t>
  </si>
  <si>
    <t>28C1 desOD1</t>
  </si>
  <si>
    <t>C1</t>
  </si>
  <si>
    <t>1.2 OD</t>
  </si>
  <si>
    <t>28C2 desOD1</t>
  </si>
  <si>
    <t>C2</t>
  </si>
  <si>
    <t>28C3 desOD1</t>
  </si>
  <si>
    <t>C3</t>
  </si>
  <si>
    <t>28C4 desOD1</t>
  </si>
  <si>
    <t>C4</t>
  </si>
  <si>
    <t>1A1 desOD1</t>
  </si>
  <si>
    <t>1A2 desOD1</t>
  </si>
  <si>
    <t>1A3 desOD1</t>
  </si>
  <si>
    <t>1A4 desOD1</t>
  </si>
  <si>
    <t>1B1 desOD1</t>
  </si>
  <si>
    <t>1B2 desOD1</t>
  </si>
  <si>
    <t>1B3 desOD1</t>
  </si>
  <si>
    <t>1B4 desOD1</t>
  </si>
  <si>
    <t>1C1 desOD1</t>
  </si>
  <si>
    <t>1C2 desOD1</t>
  </si>
  <si>
    <t>1C3 desOD1</t>
  </si>
  <si>
    <t>1C4 desOD1</t>
  </si>
  <si>
    <t>5A1 desOD1</t>
  </si>
  <si>
    <t>5A2 desOD1</t>
  </si>
  <si>
    <t>5A3 desOD1</t>
  </si>
  <si>
    <t>5A4 desOD1</t>
  </si>
  <si>
    <t>5B1 desOD1</t>
  </si>
  <si>
    <t>5B2 desOD1</t>
  </si>
  <si>
    <t>5B3 desOD1</t>
  </si>
  <si>
    <t>5B4 desOD1</t>
  </si>
  <si>
    <t>5C1 desOD1</t>
  </si>
  <si>
    <t>Ndesiccata33</t>
  </si>
  <si>
    <t>5C2 desOD1</t>
  </si>
  <si>
    <t>Ndesiccata34</t>
  </si>
  <si>
    <t>5C3 desOD1</t>
  </si>
  <si>
    <t>Ndesiccata35</t>
  </si>
  <si>
    <t>5C4 desOD1</t>
  </si>
  <si>
    <t>Ndesiccata36</t>
  </si>
  <si>
    <t>14A1 desOD2</t>
  </si>
  <si>
    <t>FAME_11202025</t>
  </si>
  <si>
    <t>14A2 desOD2</t>
  </si>
  <si>
    <t>14A3 desOD2</t>
  </si>
  <si>
    <t>14A4 desOD2</t>
  </si>
  <si>
    <t>14B1 desOD2</t>
  </si>
  <si>
    <t>14B2 desOD2</t>
  </si>
  <si>
    <t>14B3 desOD2</t>
  </si>
  <si>
    <t>14B4 desOD2</t>
  </si>
  <si>
    <t>14C1 desOD2</t>
  </si>
  <si>
    <t>14C2 desOD2</t>
  </si>
  <si>
    <t>14C3 desOD2</t>
  </si>
  <si>
    <t>14C4 desOD2</t>
  </si>
  <si>
    <t>18A1 desOD2</t>
  </si>
  <si>
    <t>18A2 desOD2</t>
  </si>
  <si>
    <t>18A3 desOD2</t>
  </si>
  <si>
    <t>18A4 desOD2</t>
  </si>
  <si>
    <t>18B1 desOD2</t>
  </si>
  <si>
    <t>18B2 desOD2</t>
  </si>
  <si>
    <t>18B3 desOD2</t>
  </si>
  <si>
    <t>18B4 desOD2</t>
  </si>
  <si>
    <t>18C1 desOD2</t>
  </si>
  <si>
    <t>18C2 desOD2</t>
  </si>
  <si>
    <t>18C3 desOD2</t>
  </si>
  <si>
    <t>18C4 desOD2</t>
  </si>
  <si>
    <t>22A1 desOD2</t>
  </si>
  <si>
    <t>22A2 desOD2</t>
  </si>
  <si>
    <t>22A3 desOD2</t>
  </si>
  <si>
    <t>22A4 desOD2</t>
  </si>
  <si>
    <t>22B1 desOD2</t>
  </si>
  <si>
    <t>22B2 desOD2</t>
  </si>
  <si>
    <t>22B3 desOD2</t>
  </si>
  <si>
    <t>22B4 desOD2</t>
  </si>
  <si>
    <t>22C1 desOD2</t>
  </si>
  <si>
    <t>22C2 desOD2</t>
  </si>
  <si>
    <t>22C4 desOD2</t>
  </si>
  <si>
    <t>3A4 desOD3</t>
  </si>
  <si>
    <t>FAME_11262025</t>
  </si>
  <si>
    <t>3A2 desOD3</t>
  </si>
  <si>
    <t>3A3 desOD3</t>
  </si>
  <si>
    <t>3A1 desOD3</t>
  </si>
  <si>
    <t>3B1 desOD3</t>
  </si>
  <si>
    <t>3B2 desOD3</t>
  </si>
  <si>
    <t>3B3 desOD3</t>
  </si>
  <si>
    <t>3B4 desOD3</t>
  </si>
  <si>
    <t>3C1 desOD3</t>
  </si>
  <si>
    <t>3C2 desOD3</t>
  </si>
  <si>
    <t>3C3 desOD3</t>
  </si>
  <si>
    <t>3C4 desOD3</t>
  </si>
  <si>
    <t>7A1 desOD3</t>
  </si>
  <si>
    <t>7A2 desOD3</t>
  </si>
  <si>
    <t>7A3 desOD3</t>
  </si>
  <si>
    <t>7A4 desOD3</t>
  </si>
  <si>
    <t>7B1 desOD3</t>
  </si>
  <si>
    <t>7B2 desOD3</t>
  </si>
  <si>
    <t>7B3 desOD3</t>
  </si>
  <si>
    <t>7B4 desOD3</t>
  </si>
  <si>
    <t>7C1 desOD3</t>
  </si>
  <si>
    <t>7C2 desOD3</t>
  </si>
  <si>
    <t>7C3 desOD3</t>
  </si>
  <si>
    <t>7C4 desOD3</t>
  </si>
  <si>
    <t>11A1 desOD3</t>
  </si>
  <si>
    <t>11A2 desOD3</t>
  </si>
  <si>
    <t>11A3 desOD3</t>
  </si>
  <si>
    <t>11A4 desOD3</t>
  </si>
  <si>
    <t>11B1 desOD3</t>
  </si>
  <si>
    <t>11B2 desOD3</t>
  </si>
  <si>
    <t>11B3 desOD3</t>
  </si>
  <si>
    <t>11B4 desOD3</t>
  </si>
  <si>
    <t>11C1 desOD3</t>
  </si>
  <si>
    <t>11C2 desOD3</t>
  </si>
  <si>
    <t>11C3 desOD3</t>
  </si>
  <si>
    <t>11C4 desOD3</t>
  </si>
  <si>
    <t>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</si>
</sst>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horizontal="center"/>
    </xf>
    <xf numFmtId="14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6" xfId="0" applyBorder="1"/>
    <xf numFmtId="1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64" fontId="0" fillId="0" borderId="0" xfId="0" applyNumberFormat="1"/>
    <xf numFmtId="49" fontId="1" fillId="2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0" fillId="2" borderId="0" xfId="0" applyFill="1"/>
    <xf numFmtId="0" fontId="1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8" xfId="0" applyFill="1" applyBorder="1"/>
    <xf numFmtId="0" fontId="0" fillId="3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" fontId="1" fillId="2" borderId="4" xfId="0" applyNumberFormat="1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left" vertical="center"/>
    </xf>
    <xf numFmtId="0" fontId="4" fillId="3" borderId="0" xfId="0" applyFont="1" applyFill="1"/>
    <xf numFmtId="0" fontId="4" fillId="3" borderId="1" xfId="0" applyFont="1" applyFill="1" applyBorder="1"/>
    <xf numFmtId="0" fontId="4" fillId="3" borderId="0" xfId="0" applyFont="1" applyFill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s/Carbohydrates_AFDW_FAME.xlsx" TargetMode="External"/><Relationship Id="rId2" Type="http://schemas.openxmlformats.org/officeDocument/2006/relationships/externalLinkPath" Target="file:///C:\Users\404567\Desktop\Research%20folder\Data%20science\Logs\Carbohydrates_AFDW_FAME.xlsx" TargetMode="External"/><Relationship Id="rId1" Type="http://schemas.openxmlformats.org/officeDocument/2006/relationships/externalLinkPath" Target="/Users/404567/Desktop/Research%20folder/Data%20science/Logs/Carbohydrates_AFDW_FA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periment Index"/>
      <sheetName val="AFDW"/>
      <sheetName val="Carbohydrates"/>
      <sheetName val="Carbohydrates Std"/>
      <sheetName val="TroubleshootCarbs"/>
      <sheetName val="FAME Meta"/>
      <sheetName val="Samples rel MOT 03 2024"/>
    </sheetNames>
    <sheetDataSet>
      <sheetData sheetId="0">
        <row r="7">
          <cell r="E7" t="str">
            <v>MORE_N.desiccata_July2025_Dens1</v>
          </cell>
        </row>
        <row r="8">
          <cell r="E8" t="str">
            <v>MORE_N.desiccata_Oct2025_Dens2</v>
          </cell>
        </row>
        <row r="9">
          <cell r="E9" t="str">
            <v>MORE_N.desiccata_Nov2025_Dens3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76553-501E-4058-8D7D-51C839FA0AB4}">
  <sheetPr>
    <tabColor theme="6" tint="0.39997558519241921"/>
    <pageSetUpPr autoPageBreaks="0"/>
  </sheetPr>
  <dimension ref="A1:Q117"/>
  <sheetViews>
    <sheetView tabSelected="1" zoomScale="92" workbookViewId="0">
      <pane xSplit="2" ySplit="2" topLeftCell="I100" activePane="bottomRight" state="frozen"/>
      <selection pane="topRight" activeCell="C1" sqref="C1"/>
      <selection pane="bottomLeft" activeCell="A3" sqref="A3"/>
      <selection pane="bottomRight" activeCell="C11" sqref="C11"/>
    </sheetView>
  </sheetViews>
  <sheetFormatPr defaultColWidth="10.90625" defaultRowHeight="14.5" x14ac:dyDescent="0.35"/>
  <cols>
    <col min="1" max="1" width="32.7265625" style="50" customWidth="1"/>
    <col min="2" max="2" width="13.7265625" style="30" customWidth="1"/>
    <col min="3" max="3" width="13.6328125" customWidth="1"/>
    <col min="4" max="4" width="12.6328125" style="25" customWidth="1"/>
    <col min="5" max="5" width="10.08984375" style="30" customWidth="1"/>
    <col min="6" max="6" width="9.54296875" customWidth="1"/>
    <col min="7" max="7" width="15.453125" style="30" bestFit="1" customWidth="1"/>
    <col min="8" max="8" width="13.26953125" style="17" customWidth="1"/>
    <col min="9" max="9" width="17.7265625" style="35" bestFit="1" customWidth="1"/>
    <col min="10" max="10" width="11.6328125" style="36" customWidth="1"/>
    <col min="11" max="11" width="7.54296875" style="18" customWidth="1"/>
    <col min="12" max="12" width="19.36328125" style="42" customWidth="1"/>
    <col min="13" max="13" width="19.7265625" style="42" customWidth="1"/>
    <col min="14" max="14" width="11.6328125" style="42" customWidth="1"/>
    <col min="15" max="15" width="13.453125" style="20" customWidth="1"/>
    <col min="16" max="16" width="17.36328125" style="42" bestFit="1" customWidth="1"/>
    <col min="17" max="17" width="10.90625" style="11"/>
  </cols>
  <sheetData>
    <row r="1" spans="1:16" x14ac:dyDescent="0.3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4"/>
      <c r="K1" s="55" t="s">
        <v>1</v>
      </c>
      <c r="L1" s="53"/>
      <c r="M1" s="53"/>
      <c r="N1" s="53"/>
      <c r="O1" s="53"/>
      <c r="P1" s="44" t="s">
        <v>186</v>
      </c>
    </row>
    <row r="2" spans="1:16" x14ac:dyDescent="0.35">
      <c r="A2" s="49" t="s">
        <v>2</v>
      </c>
      <c r="B2" s="26" t="s">
        <v>3</v>
      </c>
      <c r="C2" s="2" t="s">
        <v>4</v>
      </c>
      <c r="D2" s="3" t="s">
        <v>5</v>
      </c>
      <c r="E2" s="31" t="s">
        <v>6</v>
      </c>
      <c r="F2" s="4" t="s">
        <v>7</v>
      </c>
      <c r="G2" s="26" t="s">
        <v>8</v>
      </c>
      <c r="H2" s="2" t="s">
        <v>9</v>
      </c>
      <c r="I2" s="34" t="s">
        <v>10</v>
      </c>
      <c r="J2" s="34" t="s">
        <v>11</v>
      </c>
      <c r="K2" s="5" t="s">
        <v>12</v>
      </c>
      <c r="L2" s="41" t="s">
        <v>13</v>
      </c>
      <c r="M2" s="41" t="s">
        <v>14</v>
      </c>
      <c r="N2" s="41" t="s">
        <v>15</v>
      </c>
      <c r="O2" s="6" t="s">
        <v>16</v>
      </c>
      <c r="P2" s="41" t="s">
        <v>17</v>
      </c>
    </row>
    <row r="3" spans="1:16" x14ac:dyDescent="0.35">
      <c r="A3" s="50" t="str">
        <f>'[1]Experiment Index'!E$7</f>
        <v>MORE_N.desiccata_July2025_Dens1</v>
      </c>
      <c r="B3" s="27" t="s">
        <v>67</v>
      </c>
      <c r="C3" s="17">
        <v>45866</v>
      </c>
      <c r="D3" s="19">
        <v>4</v>
      </c>
      <c r="E3" s="27" t="s">
        <v>24</v>
      </c>
      <c r="F3" s="1" t="s">
        <v>25</v>
      </c>
      <c r="G3" s="28" t="s">
        <v>65</v>
      </c>
      <c r="H3" s="17">
        <v>45883</v>
      </c>
      <c r="I3" s="35" t="s">
        <v>68</v>
      </c>
      <c r="J3" s="36" t="s">
        <v>26</v>
      </c>
      <c r="K3" s="18">
        <v>1</v>
      </c>
      <c r="L3" s="42">
        <v>2241.34</v>
      </c>
      <c r="M3" s="42">
        <v>6.44</v>
      </c>
      <c r="N3" s="42">
        <v>2247.89</v>
      </c>
      <c r="O3" s="10">
        <f>N3-L3</f>
        <v>6.5499999999997272</v>
      </c>
      <c r="P3" s="45">
        <v>1</v>
      </c>
    </row>
    <row r="4" spans="1:16" x14ac:dyDescent="0.35">
      <c r="A4" s="50" t="str">
        <f>'[1]Experiment Index'!E$7</f>
        <v>MORE_N.desiccata_July2025_Dens1</v>
      </c>
      <c r="B4" s="27" t="s">
        <v>69</v>
      </c>
      <c r="C4" s="17">
        <v>45866</v>
      </c>
      <c r="D4" s="19">
        <v>4</v>
      </c>
      <c r="E4" s="27" t="s">
        <v>27</v>
      </c>
      <c r="F4" s="1" t="s">
        <v>25</v>
      </c>
      <c r="G4" s="28" t="s">
        <v>65</v>
      </c>
      <c r="H4" s="17">
        <v>45883</v>
      </c>
      <c r="I4" s="35" t="s">
        <v>68</v>
      </c>
      <c r="J4" s="36" t="s">
        <v>28</v>
      </c>
      <c r="K4" s="18">
        <v>2</v>
      </c>
      <c r="L4" s="42">
        <v>2228.58</v>
      </c>
      <c r="M4" s="42">
        <v>6.6</v>
      </c>
      <c r="N4" s="42">
        <v>2235.3000000000002</v>
      </c>
      <c r="O4" s="10">
        <f t="shared" ref="O4:O117" si="0">N4-L4</f>
        <v>6.7200000000002547</v>
      </c>
      <c r="P4" s="45">
        <v>1</v>
      </c>
    </row>
    <row r="5" spans="1:16" x14ac:dyDescent="0.35">
      <c r="A5" s="50" t="str">
        <f>'[1]Experiment Index'!E$7</f>
        <v>MORE_N.desiccata_July2025_Dens1</v>
      </c>
      <c r="B5" s="27" t="s">
        <v>70</v>
      </c>
      <c r="C5" s="17">
        <v>45866</v>
      </c>
      <c r="D5" s="19">
        <v>4</v>
      </c>
      <c r="E5" s="27" t="s">
        <v>29</v>
      </c>
      <c r="F5" s="1" t="s">
        <v>25</v>
      </c>
      <c r="G5" s="28" t="s">
        <v>65</v>
      </c>
      <c r="H5" s="17">
        <v>45883</v>
      </c>
      <c r="I5" s="35" t="s">
        <v>68</v>
      </c>
      <c r="J5" s="36" t="s">
        <v>30</v>
      </c>
      <c r="K5" s="18">
        <v>3</v>
      </c>
      <c r="L5" s="42">
        <v>2204.27</v>
      </c>
      <c r="M5" s="42">
        <v>5.34</v>
      </c>
      <c r="N5" s="42">
        <v>2209.67</v>
      </c>
      <c r="O5" s="10">
        <f t="shared" si="0"/>
        <v>5.4000000000000909</v>
      </c>
      <c r="P5" s="45">
        <v>1</v>
      </c>
    </row>
    <row r="6" spans="1:16" x14ac:dyDescent="0.35">
      <c r="A6" s="50" t="str">
        <f>'[1]Experiment Index'!E$7</f>
        <v>MORE_N.desiccata_July2025_Dens1</v>
      </c>
      <c r="B6" s="27" t="s">
        <v>71</v>
      </c>
      <c r="C6" s="17">
        <v>45866</v>
      </c>
      <c r="D6" s="19">
        <v>4</v>
      </c>
      <c r="E6" s="27" t="s">
        <v>50</v>
      </c>
      <c r="F6" s="1" t="s">
        <v>25</v>
      </c>
      <c r="G6" s="28" t="s">
        <v>65</v>
      </c>
      <c r="H6" s="17">
        <v>45883</v>
      </c>
      <c r="I6" s="35" t="s">
        <v>68</v>
      </c>
      <c r="J6" s="36" t="s">
        <v>32</v>
      </c>
      <c r="K6" s="18">
        <v>4</v>
      </c>
      <c r="L6" s="42">
        <v>2201.02</v>
      </c>
      <c r="M6" s="42">
        <v>7.45</v>
      </c>
      <c r="N6" s="42">
        <v>2208.58</v>
      </c>
      <c r="O6" s="10">
        <f t="shared" si="0"/>
        <v>7.5599999999999454</v>
      </c>
      <c r="P6" s="45">
        <v>1</v>
      </c>
    </row>
    <row r="7" spans="1:16" x14ac:dyDescent="0.35">
      <c r="A7" s="50" t="str">
        <f>'[1]Experiment Index'!E$7</f>
        <v>MORE_N.desiccata_July2025_Dens1</v>
      </c>
      <c r="B7" s="27" t="s">
        <v>72</v>
      </c>
      <c r="C7" s="17">
        <v>45866</v>
      </c>
      <c r="D7" s="19">
        <v>4</v>
      </c>
      <c r="E7" s="27" t="s">
        <v>33</v>
      </c>
      <c r="F7" s="1" t="s">
        <v>25</v>
      </c>
      <c r="G7" s="28" t="s">
        <v>66</v>
      </c>
      <c r="H7" s="17">
        <v>45883</v>
      </c>
      <c r="I7" s="35" t="s">
        <v>68</v>
      </c>
      <c r="J7" s="36" t="s">
        <v>34</v>
      </c>
      <c r="K7" s="18">
        <v>5</v>
      </c>
      <c r="L7" s="42">
        <v>2216.87</v>
      </c>
      <c r="M7" s="42">
        <v>7.35</v>
      </c>
      <c r="N7" s="42">
        <v>2224.38</v>
      </c>
      <c r="O7" s="10">
        <f t="shared" si="0"/>
        <v>7.5100000000002183</v>
      </c>
      <c r="P7" s="45">
        <v>1</v>
      </c>
    </row>
    <row r="8" spans="1:16" x14ac:dyDescent="0.35">
      <c r="A8" s="50" t="str">
        <f>'[1]Experiment Index'!E$7</f>
        <v>MORE_N.desiccata_July2025_Dens1</v>
      </c>
      <c r="B8" s="27" t="s">
        <v>73</v>
      </c>
      <c r="C8" s="17">
        <v>45866</v>
      </c>
      <c r="D8" s="19">
        <v>4</v>
      </c>
      <c r="E8" s="27" t="s">
        <v>31</v>
      </c>
      <c r="F8" s="1" t="s">
        <v>25</v>
      </c>
      <c r="G8" s="28" t="s">
        <v>66</v>
      </c>
      <c r="H8" s="17">
        <v>45883</v>
      </c>
      <c r="I8" s="35" t="s">
        <v>68</v>
      </c>
      <c r="J8" s="36" t="s">
        <v>35</v>
      </c>
      <c r="K8" s="18">
        <v>6</v>
      </c>
      <c r="L8" s="42">
        <v>2201.17</v>
      </c>
      <c r="M8" s="42">
        <v>6.73</v>
      </c>
      <c r="N8" s="42">
        <v>2208.08</v>
      </c>
      <c r="O8" s="10">
        <f t="shared" si="0"/>
        <v>6.9099999999998545</v>
      </c>
      <c r="P8" s="45">
        <v>1</v>
      </c>
    </row>
    <row r="9" spans="1:16" x14ac:dyDescent="0.35">
      <c r="A9" s="50" t="str">
        <f>'[1]Experiment Index'!E$7</f>
        <v>MORE_N.desiccata_July2025_Dens1</v>
      </c>
      <c r="B9" s="27" t="s">
        <v>74</v>
      </c>
      <c r="C9" s="17">
        <v>45866</v>
      </c>
      <c r="D9" s="19">
        <v>4</v>
      </c>
      <c r="E9" s="27" t="s">
        <v>48</v>
      </c>
      <c r="F9" s="1" t="s">
        <v>25</v>
      </c>
      <c r="G9" s="28" t="s">
        <v>66</v>
      </c>
      <c r="H9" s="17">
        <v>45883</v>
      </c>
      <c r="I9" s="35" t="s">
        <v>68</v>
      </c>
      <c r="J9" s="36" t="s">
        <v>36</v>
      </c>
      <c r="K9" s="18">
        <v>7</v>
      </c>
      <c r="L9" s="42">
        <v>2233.7199999999998</v>
      </c>
      <c r="M9" s="42">
        <v>7.76</v>
      </c>
      <c r="N9" s="42">
        <v>2241.66</v>
      </c>
      <c r="O9" s="10">
        <f t="shared" si="0"/>
        <v>7.9400000000000546</v>
      </c>
      <c r="P9" s="45">
        <v>1</v>
      </c>
    </row>
    <row r="10" spans="1:16" x14ac:dyDescent="0.35">
      <c r="A10" s="50" t="str">
        <f>'[1]Experiment Index'!E$7</f>
        <v>MORE_N.desiccata_July2025_Dens1</v>
      </c>
      <c r="B10" s="27" t="s">
        <v>75</v>
      </c>
      <c r="C10" s="17">
        <v>45866</v>
      </c>
      <c r="D10" s="19">
        <v>4</v>
      </c>
      <c r="E10" s="27" t="s">
        <v>51</v>
      </c>
      <c r="F10" s="1" t="s">
        <v>25</v>
      </c>
      <c r="G10" s="28" t="s">
        <v>66</v>
      </c>
      <c r="H10" s="17">
        <v>45883</v>
      </c>
      <c r="I10" s="35" t="s">
        <v>68</v>
      </c>
      <c r="J10" s="36" t="s">
        <v>37</v>
      </c>
      <c r="K10" s="18">
        <v>8</v>
      </c>
      <c r="L10" s="42">
        <v>2209.16</v>
      </c>
      <c r="M10" s="42">
        <v>8.1</v>
      </c>
      <c r="N10" s="42">
        <v>2217.35</v>
      </c>
      <c r="O10" s="10">
        <f t="shared" si="0"/>
        <v>8.1900000000000546</v>
      </c>
      <c r="P10" s="45">
        <v>1</v>
      </c>
    </row>
    <row r="11" spans="1:16" x14ac:dyDescent="0.35">
      <c r="A11" s="50" t="str">
        <f>'[1]Experiment Index'!E$7</f>
        <v>MORE_N.desiccata_July2025_Dens1</v>
      </c>
      <c r="B11" s="27" t="s">
        <v>76</v>
      </c>
      <c r="C11" s="17">
        <v>45866</v>
      </c>
      <c r="D11" s="19">
        <v>4</v>
      </c>
      <c r="E11" s="27" t="s">
        <v>77</v>
      </c>
      <c r="F11" s="1" t="s">
        <v>25</v>
      </c>
      <c r="G11" s="28" t="s">
        <v>78</v>
      </c>
      <c r="H11" s="17">
        <v>45883</v>
      </c>
      <c r="I11" s="35" t="s">
        <v>68</v>
      </c>
      <c r="J11" s="36" t="s">
        <v>38</v>
      </c>
      <c r="K11" s="18">
        <v>9</v>
      </c>
      <c r="L11" s="42">
        <v>2226.77</v>
      </c>
      <c r="M11" s="42">
        <v>8.5299999999999994</v>
      </c>
      <c r="N11" s="42">
        <v>2235.4899999999998</v>
      </c>
      <c r="O11" s="10">
        <f t="shared" si="0"/>
        <v>8.7199999999997999</v>
      </c>
      <c r="P11" s="45">
        <v>1</v>
      </c>
    </row>
    <row r="12" spans="1:16" x14ac:dyDescent="0.35">
      <c r="A12" s="50" t="str">
        <f>'[1]Experiment Index'!E$7</f>
        <v>MORE_N.desiccata_July2025_Dens1</v>
      </c>
      <c r="B12" s="27" t="s">
        <v>79</v>
      </c>
      <c r="C12" s="17">
        <v>45866</v>
      </c>
      <c r="D12" s="19">
        <v>4</v>
      </c>
      <c r="E12" s="27" t="s">
        <v>80</v>
      </c>
      <c r="F12" s="1" t="s">
        <v>25</v>
      </c>
      <c r="G12" s="28" t="s">
        <v>78</v>
      </c>
      <c r="H12" s="17">
        <v>45883</v>
      </c>
      <c r="I12" s="35" t="s">
        <v>68</v>
      </c>
      <c r="J12" s="36" t="s">
        <v>39</v>
      </c>
      <c r="K12" s="18">
        <v>10</v>
      </c>
      <c r="L12" s="42">
        <v>2183.8000000000002</v>
      </c>
      <c r="M12" s="42">
        <v>8.09</v>
      </c>
      <c r="N12" s="42">
        <v>2192.0700000000002</v>
      </c>
      <c r="O12" s="10">
        <f t="shared" si="0"/>
        <v>8.2699999999999818</v>
      </c>
      <c r="P12" s="45">
        <v>1</v>
      </c>
    </row>
    <row r="13" spans="1:16" x14ac:dyDescent="0.35">
      <c r="A13" s="50" t="str">
        <f>'[1]Experiment Index'!E$7</f>
        <v>MORE_N.desiccata_July2025_Dens1</v>
      </c>
      <c r="B13" s="27" t="s">
        <v>81</v>
      </c>
      <c r="C13" s="17">
        <v>45866</v>
      </c>
      <c r="D13" s="19">
        <v>4</v>
      </c>
      <c r="E13" s="27" t="s">
        <v>82</v>
      </c>
      <c r="F13" s="1" t="s">
        <v>25</v>
      </c>
      <c r="G13" s="28" t="s">
        <v>78</v>
      </c>
      <c r="H13" s="17">
        <v>45883</v>
      </c>
      <c r="I13" s="35" t="s">
        <v>68</v>
      </c>
      <c r="J13" s="36" t="s">
        <v>40</v>
      </c>
      <c r="K13" s="18">
        <v>11</v>
      </c>
      <c r="L13" s="42">
        <v>2219.67</v>
      </c>
      <c r="M13" s="42">
        <v>8.82</v>
      </c>
      <c r="N13" s="42">
        <v>2228.56</v>
      </c>
      <c r="O13" s="10">
        <f t="shared" si="0"/>
        <v>8.8899999999998727</v>
      </c>
      <c r="P13" s="45">
        <v>1</v>
      </c>
    </row>
    <row r="14" spans="1:16" x14ac:dyDescent="0.35">
      <c r="A14" s="50" t="str">
        <f>'[1]Experiment Index'!E$7</f>
        <v>MORE_N.desiccata_July2025_Dens1</v>
      </c>
      <c r="B14" s="27" t="s">
        <v>83</v>
      </c>
      <c r="C14" s="17">
        <v>45866</v>
      </c>
      <c r="D14" s="19">
        <v>4</v>
      </c>
      <c r="E14" s="27" t="s">
        <v>84</v>
      </c>
      <c r="F14" s="1" t="s">
        <v>25</v>
      </c>
      <c r="G14" s="28" t="s">
        <v>78</v>
      </c>
      <c r="H14" s="17">
        <v>45883</v>
      </c>
      <c r="I14" s="35" t="s">
        <v>68</v>
      </c>
      <c r="J14" s="36" t="s">
        <v>41</v>
      </c>
      <c r="K14" s="18">
        <v>12</v>
      </c>
      <c r="L14" s="42">
        <v>2226.08</v>
      </c>
      <c r="M14" s="42">
        <v>8.44</v>
      </c>
      <c r="N14" s="42">
        <v>2234.67</v>
      </c>
      <c r="O14" s="10">
        <f t="shared" si="0"/>
        <v>8.5900000000001455</v>
      </c>
      <c r="P14" s="45">
        <v>1</v>
      </c>
    </row>
    <row r="15" spans="1:16" x14ac:dyDescent="0.35">
      <c r="A15" s="50" t="str">
        <f>'[1]Experiment Index'!E$7</f>
        <v>MORE_N.desiccata_July2025_Dens1</v>
      </c>
      <c r="B15" s="27" t="s">
        <v>85</v>
      </c>
      <c r="C15" s="17">
        <v>45870</v>
      </c>
      <c r="D15" s="19">
        <v>8</v>
      </c>
      <c r="E15" s="27" t="s">
        <v>24</v>
      </c>
      <c r="F15" s="1" t="s">
        <v>25</v>
      </c>
      <c r="G15" s="28" t="s">
        <v>65</v>
      </c>
      <c r="H15" s="17">
        <v>45883</v>
      </c>
      <c r="I15" s="35" t="s">
        <v>68</v>
      </c>
      <c r="J15" s="36" t="s">
        <v>42</v>
      </c>
      <c r="K15" s="18">
        <v>13</v>
      </c>
      <c r="L15" s="42">
        <v>2206.2800000000002</v>
      </c>
      <c r="M15" s="42">
        <v>8.02</v>
      </c>
      <c r="N15" s="42">
        <v>2214.41</v>
      </c>
      <c r="O15" s="10">
        <f t="shared" si="0"/>
        <v>8.1299999999996544</v>
      </c>
      <c r="P15" s="45">
        <v>1</v>
      </c>
    </row>
    <row r="16" spans="1:16" x14ac:dyDescent="0.35">
      <c r="A16" s="50" t="str">
        <f>'[1]Experiment Index'!E$7</f>
        <v>MORE_N.desiccata_July2025_Dens1</v>
      </c>
      <c r="B16" s="27" t="s">
        <v>86</v>
      </c>
      <c r="C16" s="17">
        <v>45870</v>
      </c>
      <c r="D16" s="19">
        <v>8</v>
      </c>
      <c r="E16" s="27" t="s">
        <v>27</v>
      </c>
      <c r="F16" s="1" t="s">
        <v>25</v>
      </c>
      <c r="G16" s="28" t="s">
        <v>65</v>
      </c>
      <c r="H16" s="17">
        <v>45883</v>
      </c>
      <c r="I16" s="35" t="s">
        <v>68</v>
      </c>
      <c r="J16" s="36" t="s">
        <v>43</v>
      </c>
      <c r="K16" s="18">
        <v>14</v>
      </c>
      <c r="L16" s="42">
        <v>2210.1</v>
      </c>
      <c r="M16" s="42">
        <v>7.73</v>
      </c>
      <c r="N16" s="42">
        <v>2217.87</v>
      </c>
      <c r="O16" s="10">
        <f t="shared" si="0"/>
        <v>7.7699999999999818</v>
      </c>
      <c r="P16" s="45">
        <v>1</v>
      </c>
    </row>
    <row r="17" spans="1:16" x14ac:dyDescent="0.35">
      <c r="A17" s="50" t="str">
        <f>'[1]Experiment Index'!E$7</f>
        <v>MORE_N.desiccata_July2025_Dens1</v>
      </c>
      <c r="B17" s="27" t="s">
        <v>87</v>
      </c>
      <c r="C17" s="17">
        <v>45870</v>
      </c>
      <c r="D17" s="19">
        <v>8</v>
      </c>
      <c r="E17" s="27" t="s">
        <v>29</v>
      </c>
      <c r="F17" s="1" t="s">
        <v>25</v>
      </c>
      <c r="G17" s="28" t="s">
        <v>65</v>
      </c>
      <c r="H17" s="17">
        <v>45883</v>
      </c>
      <c r="I17" s="35" t="s">
        <v>68</v>
      </c>
      <c r="J17" s="36" t="s">
        <v>44</v>
      </c>
      <c r="K17" s="18">
        <v>15</v>
      </c>
      <c r="L17" s="42">
        <v>2215.9699999999998</v>
      </c>
      <c r="M17" s="42">
        <v>8.19</v>
      </c>
      <c r="N17" s="42">
        <v>2224.2199999999998</v>
      </c>
      <c r="O17" s="10">
        <f t="shared" si="0"/>
        <v>8.25</v>
      </c>
      <c r="P17" s="45">
        <v>1</v>
      </c>
    </row>
    <row r="18" spans="1:16" x14ac:dyDescent="0.35">
      <c r="A18" s="50" t="str">
        <f>'[1]Experiment Index'!E$7</f>
        <v>MORE_N.desiccata_July2025_Dens1</v>
      </c>
      <c r="B18" s="27" t="s">
        <v>88</v>
      </c>
      <c r="C18" s="17">
        <v>45870</v>
      </c>
      <c r="D18" s="19">
        <v>8</v>
      </c>
      <c r="E18" s="27" t="s">
        <v>50</v>
      </c>
      <c r="F18" s="1" t="s">
        <v>25</v>
      </c>
      <c r="G18" s="28" t="s">
        <v>65</v>
      </c>
      <c r="H18" s="17">
        <v>45883</v>
      </c>
      <c r="I18" s="35" t="s">
        <v>68</v>
      </c>
      <c r="J18" s="36" t="s">
        <v>45</v>
      </c>
      <c r="K18" s="18">
        <v>16</v>
      </c>
      <c r="L18" s="42">
        <v>2223.52</v>
      </c>
      <c r="M18" s="42">
        <v>5.4</v>
      </c>
      <c r="N18" s="42">
        <v>2229.0300000000002</v>
      </c>
      <c r="O18" s="10">
        <f t="shared" si="0"/>
        <v>5.5100000000002183</v>
      </c>
      <c r="P18" s="45">
        <v>1</v>
      </c>
    </row>
    <row r="19" spans="1:16" x14ac:dyDescent="0.35">
      <c r="A19" s="50" t="str">
        <f>'[1]Experiment Index'!E$7</f>
        <v>MORE_N.desiccata_July2025_Dens1</v>
      </c>
      <c r="B19" s="27" t="s">
        <v>89</v>
      </c>
      <c r="C19" s="17">
        <v>45870</v>
      </c>
      <c r="D19" s="19">
        <v>8</v>
      </c>
      <c r="E19" s="27" t="s">
        <v>33</v>
      </c>
      <c r="F19" s="1" t="s">
        <v>25</v>
      </c>
      <c r="G19" s="28" t="s">
        <v>66</v>
      </c>
      <c r="H19" s="17">
        <v>45883</v>
      </c>
      <c r="I19" s="35" t="s">
        <v>68</v>
      </c>
      <c r="J19" s="36" t="s">
        <v>46</v>
      </c>
      <c r="K19" s="18">
        <v>17</v>
      </c>
      <c r="L19" s="42">
        <v>2209.0100000000002</v>
      </c>
      <c r="M19" s="42">
        <v>7.3</v>
      </c>
      <c r="N19" s="42">
        <v>2216.4499999999998</v>
      </c>
      <c r="O19" s="10">
        <f t="shared" si="0"/>
        <v>7.4399999999995998</v>
      </c>
      <c r="P19" s="45">
        <v>1</v>
      </c>
    </row>
    <row r="20" spans="1:16" x14ac:dyDescent="0.35">
      <c r="A20" s="50" t="str">
        <f>'[1]Experiment Index'!E$7</f>
        <v>MORE_N.desiccata_July2025_Dens1</v>
      </c>
      <c r="B20" s="27" t="s">
        <v>90</v>
      </c>
      <c r="C20" s="17">
        <v>45870</v>
      </c>
      <c r="D20" s="19">
        <v>8</v>
      </c>
      <c r="E20" s="27" t="s">
        <v>31</v>
      </c>
      <c r="F20" s="1" t="s">
        <v>25</v>
      </c>
      <c r="G20" s="28" t="s">
        <v>66</v>
      </c>
      <c r="H20" s="17">
        <v>45883</v>
      </c>
      <c r="I20" s="35" t="s">
        <v>68</v>
      </c>
      <c r="J20" s="36" t="s">
        <v>47</v>
      </c>
      <c r="K20" s="18">
        <v>18</v>
      </c>
      <c r="L20" s="42">
        <v>2226.77</v>
      </c>
      <c r="M20" s="42">
        <v>7.32</v>
      </c>
      <c r="N20" s="42">
        <v>2234.19</v>
      </c>
      <c r="O20" s="10">
        <f t="shared" si="0"/>
        <v>7.4200000000000728</v>
      </c>
      <c r="P20" s="45">
        <v>1</v>
      </c>
    </row>
    <row r="21" spans="1:16" x14ac:dyDescent="0.35">
      <c r="A21" s="50" t="str">
        <f>'[1]Experiment Index'!E$7</f>
        <v>MORE_N.desiccata_July2025_Dens1</v>
      </c>
      <c r="B21" s="27" t="s">
        <v>91</v>
      </c>
      <c r="C21" s="17">
        <v>45870</v>
      </c>
      <c r="D21" s="19">
        <v>8</v>
      </c>
      <c r="E21" s="27" t="s">
        <v>48</v>
      </c>
      <c r="F21" s="1" t="s">
        <v>25</v>
      </c>
      <c r="G21" s="28" t="s">
        <v>66</v>
      </c>
      <c r="H21" s="17">
        <v>45883</v>
      </c>
      <c r="I21" s="35" t="s">
        <v>68</v>
      </c>
      <c r="J21" s="36" t="s">
        <v>49</v>
      </c>
      <c r="K21" s="18">
        <v>19</v>
      </c>
      <c r="L21" s="42">
        <v>2203.46</v>
      </c>
      <c r="M21" s="42">
        <v>7.84</v>
      </c>
      <c r="N21" s="42">
        <v>2211.4499999999998</v>
      </c>
      <c r="O21" s="10">
        <f t="shared" si="0"/>
        <v>7.9899999999997817</v>
      </c>
      <c r="P21" s="45">
        <v>1</v>
      </c>
    </row>
    <row r="22" spans="1:16" x14ac:dyDescent="0.35">
      <c r="A22" s="50" t="str">
        <f>'[1]Experiment Index'!E$7</f>
        <v>MORE_N.desiccata_July2025_Dens1</v>
      </c>
      <c r="B22" s="27" t="s">
        <v>92</v>
      </c>
      <c r="C22" s="17">
        <v>45870</v>
      </c>
      <c r="D22" s="19">
        <v>8</v>
      </c>
      <c r="E22" s="27" t="s">
        <v>51</v>
      </c>
      <c r="F22" s="1" t="s">
        <v>25</v>
      </c>
      <c r="G22" s="28" t="s">
        <v>66</v>
      </c>
      <c r="H22" s="17">
        <v>45883</v>
      </c>
      <c r="I22" s="35" t="s">
        <v>68</v>
      </c>
      <c r="J22" s="36" t="s">
        <v>52</v>
      </c>
      <c r="K22" s="18">
        <v>20</v>
      </c>
      <c r="L22" s="42">
        <v>2200.2399999999998</v>
      </c>
      <c r="M22" s="42">
        <v>6.89</v>
      </c>
      <c r="N22" s="42">
        <v>2207.31</v>
      </c>
      <c r="O22" s="10">
        <f t="shared" si="0"/>
        <v>7.0700000000001637</v>
      </c>
      <c r="P22" s="45">
        <v>1</v>
      </c>
    </row>
    <row r="23" spans="1:16" x14ac:dyDescent="0.35">
      <c r="A23" s="50" t="str">
        <f>'[1]Experiment Index'!E$7</f>
        <v>MORE_N.desiccata_July2025_Dens1</v>
      </c>
      <c r="B23" s="27" t="s">
        <v>93</v>
      </c>
      <c r="C23" s="17">
        <v>45870</v>
      </c>
      <c r="D23" s="19">
        <v>8</v>
      </c>
      <c r="E23" s="27" t="s">
        <v>77</v>
      </c>
      <c r="F23" s="1" t="s">
        <v>25</v>
      </c>
      <c r="G23" s="28" t="s">
        <v>78</v>
      </c>
      <c r="H23" s="17">
        <v>45883</v>
      </c>
      <c r="I23" s="35" t="s">
        <v>68</v>
      </c>
      <c r="J23" s="36" t="s">
        <v>53</v>
      </c>
      <c r="K23" s="18">
        <v>21</v>
      </c>
      <c r="L23" s="42">
        <v>2214.23</v>
      </c>
      <c r="M23" s="42">
        <v>5.91</v>
      </c>
      <c r="N23" s="42">
        <v>2220.1999999999998</v>
      </c>
      <c r="O23" s="10">
        <f t="shared" si="0"/>
        <v>5.9699999999997999</v>
      </c>
      <c r="P23" s="45">
        <v>1</v>
      </c>
    </row>
    <row r="24" spans="1:16" x14ac:dyDescent="0.35">
      <c r="A24" s="50" t="str">
        <f>'[1]Experiment Index'!E$7</f>
        <v>MORE_N.desiccata_July2025_Dens1</v>
      </c>
      <c r="B24" s="27" t="s">
        <v>94</v>
      </c>
      <c r="C24" s="17">
        <v>45870</v>
      </c>
      <c r="D24" s="19">
        <v>8</v>
      </c>
      <c r="E24" s="27" t="s">
        <v>80</v>
      </c>
      <c r="F24" s="1" t="s">
        <v>25</v>
      </c>
      <c r="G24" s="28" t="s">
        <v>78</v>
      </c>
      <c r="H24" s="17">
        <v>45883</v>
      </c>
      <c r="I24" s="35" t="s">
        <v>68</v>
      </c>
      <c r="J24" s="36" t="s">
        <v>54</v>
      </c>
      <c r="K24" s="18">
        <v>22</v>
      </c>
      <c r="L24" s="42">
        <v>2215.1999999999998</v>
      </c>
      <c r="M24" s="42">
        <v>6.1</v>
      </c>
      <c r="N24" s="42">
        <v>2221.46</v>
      </c>
      <c r="O24" s="10">
        <f t="shared" si="0"/>
        <v>6.2600000000002183</v>
      </c>
      <c r="P24" s="45">
        <v>1</v>
      </c>
    </row>
    <row r="25" spans="1:16" x14ac:dyDescent="0.35">
      <c r="A25" s="50" t="str">
        <f>'[1]Experiment Index'!E$7</f>
        <v>MORE_N.desiccata_July2025_Dens1</v>
      </c>
      <c r="B25" s="27" t="s">
        <v>95</v>
      </c>
      <c r="C25" s="17">
        <v>45870</v>
      </c>
      <c r="D25" s="19">
        <v>8</v>
      </c>
      <c r="E25" s="27" t="s">
        <v>82</v>
      </c>
      <c r="F25" s="1" t="s">
        <v>25</v>
      </c>
      <c r="G25" s="28" t="s">
        <v>78</v>
      </c>
      <c r="H25" s="17">
        <v>45883</v>
      </c>
      <c r="I25" s="35" t="s">
        <v>68</v>
      </c>
      <c r="J25" s="36" t="s">
        <v>55</v>
      </c>
      <c r="K25" s="18">
        <v>23</v>
      </c>
      <c r="L25" s="42">
        <v>2224.63</v>
      </c>
      <c r="M25" s="42">
        <v>5.22</v>
      </c>
      <c r="N25" s="42">
        <v>2230.02</v>
      </c>
      <c r="O25" s="10">
        <f t="shared" si="0"/>
        <v>5.3899999999998727</v>
      </c>
      <c r="P25" s="45">
        <v>1</v>
      </c>
    </row>
    <row r="26" spans="1:16" x14ac:dyDescent="0.35">
      <c r="A26" s="50" t="str">
        <f>'[1]Experiment Index'!E$7</f>
        <v>MORE_N.desiccata_July2025_Dens1</v>
      </c>
      <c r="B26" s="27" t="s">
        <v>96</v>
      </c>
      <c r="C26" s="17">
        <v>45870</v>
      </c>
      <c r="D26" s="19">
        <v>8</v>
      </c>
      <c r="E26" s="27" t="s">
        <v>84</v>
      </c>
      <c r="F26" s="1" t="s">
        <v>25</v>
      </c>
      <c r="G26" s="28" t="s">
        <v>78</v>
      </c>
      <c r="H26" s="17">
        <v>45883</v>
      </c>
      <c r="I26" s="35" t="s">
        <v>68</v>
      </c>
      <c r="J26" s="36" t="s">
        <v>56</v>
      </c>
      <c r="K26" s="18">
        <v>24</v>
      </c>
      <c r="L26" s="42">
        <v>2213.31</v>
      </c>
      <c r="M26" s="42">
        <v>4.92</v>
      </c>
      <c r="N26" s="42">
        <v>2218.35</v>
      </c>
      <c r="O26" s="10">
        <f t="shared" si="0"/>
        <v>5.0399999999999636</v>
      </c>
      <c r="P26" s="45">
        <v>1</v>
      </c>
    </row>
    <row r="27" spans="1:16" x14ac:dyDescent="0.35">
      <c r="A27" s="50" t="str">
        <f>'[1]Experiment Index'!E$7</f>
        <v>MORE_N.desiccata_July2025_Dens1</v>
      </c>
      <c r="B27" s="27" t="s">
        <v>97</v>
      </c>
      <c r="C27" s="17">
        <v>45874</v>
      </c>
      <c r="D27" s="19">
        <v>12</v>
      </c>
      <c r="E27" s="27" t="s">
        <v>24</v>
      </c>
      <c r="F27" s="1" t="s">
        <v>25</v>
      </c>
      <c r="G27" s="28" t="s">
        <v>65</v>
      </c>
      <c r="H27" s="17">
        <v>45883</v>
      </c>
      <c r="I27" s="35" t="s">
        <v>68</v>
      </c>
      <c r="J27" s="36" t="s">
        <v>57</v>
      </c>
      <c r="K27" s="18">
        <v>25</v>
      </c>
      <c r="L27" s="42">
        <v>2208.34</v>
      </c>
      <c r="M27" s="42">
        <v>8.77</v>
      </c>
      <c r="N27" s="42">
        <v>2217.4</v>
      </c>
      <c r="O27" s="10">
        <f t="shared" si="0"/>
        <v>9.0599999999999454</v>
      </c>
      <c r="P27" s="45">
        <v>1</v>
      </c>
    </row>
    <row r="28" spans="1:16" x14ac:dyDescent="0.35">
      <c r="A28" s="50" t="str">
        <f>'[1]Experiment Index'!E$7</f>
        <v>MORE_N.desiccata_July2025_Dens1</v>
      </c>
      <c r="B28" s="27" t="s">
        <v>98</v>
      </c>
      <c r="C28" s="17">
        <v>45874</v>
      </c>
      <c r="D28" s="19">
        <v>12</v>
      </c>
      <c r="E28" s="27" t="s">
        <v>27</v>
      </c>
      <c r="F28" s="1" t="s">
        <v>25</v>
      </c>
      <c r="G28" s="28" t="s">
        <v>65</v>
      </c>
      <c r="H28" s="17">
        <v>45883</v>
      </c>
      <c r="I28" s="35" t="s">
        <v>68</v>
      </c>
      <c r="J28" s="36" t="s">
        <v>58</v>
      </c>
      <c r="K28" s="18">
        <v>26</v>
      </c>
      <c r="L28" s="42">
        <v>2221.36</v>
      </c>
      <c r="M28" s="42">
        <v>9.17</v>
      </c>
      <c r="N28" s="42">
        <v>2230.7399999999998</v>
      </c>
      <c r="O28" s="10">
        <f t="shared" si="0"/>
        <v>9.3799999999996544</v>
      </c>
      <c r="P28" s="45">
        <v>1</v>
      </c>
    </row>
    <row r="29" spans="1:16" x14ac:dyDescent="0.35">
      <c r="A29" s="50" t="str">
        <f>'[1]Experiment Index'!E$7</f>
        <v>MORE_N.desiccata_July2025_Dens1</v>
      </c>
      <c r="B29" s="27" t="s">
        <v>99</v>
      </c>
      <c r="C29" s="17">
        <v>45874</v>
      </c>
      <c r="D29" s="19">
        <v>12</v>
      </c>
      <c r="E29" s="27" t="s">
        <v>29</v>
      </c>
      <c r="F29" s="1" t="s">
        <v>25</v>
      </c>
      <c r="G29" s="28" t="s">
        <v>65</v>
      </c>
      <c r="H29" s="17">
        <v>45883</v>
      </c>
      <c r="I29" s="35" t="s">
        <v>68</v>
      </c>
      <c r="J29" s="36" t="s">
        <v>59</v>
      </c>
      <c r="K29" s="18">
        <v>27</v>
      </c>
      <c r="L29" s="42">
        <v>2213.4899999999998</v>
      </c>
      <c r="M29" s="42">
        <v>8.51</v>
      </c>
      <c r="N29" s="42">
        <v>2222.2199999999998</v>
      </c>
      <c r="O29" s="10">
        <f t="shared" si="0"/>
        <v>8.7300000000000182</v>
      </c>
      <c r="P29" s="45">
        <v>1</v>
      </c>
    </row>
    <row r="30" spans="1:16" x14ac:dyDescent="0.35">
      <c r="A30" s="50" t="str">
        <f>'[1]Experiment Index'!E$7</f>
        <v>MORE_N.desiccata_July2025_Dens1</v>
      </c>
      <c r="B30" s="27" t="s">
        <v>100</v>
      </c>
      <c r="C30" s="17">
        <v>45874</v>
      </c>
      <c r="D30" s="19">
        <v>12</v>
      </c>
      <c r="E30" s="27" t="s">
        <v>50</v>
      </c>
      <c r="F30" s="1" t="s">
        <v>25</v>
      </c>
      <c r="G30" s="28" t="s">
        <v>65</v>
      </c>
      <c r="H30" s="17">
        <v>45883</v>
      </c>
      <c r="I30" s="35" t="s">
        <v>68</v>
      </c>
      <c r="J30" s="36" t="s">
        <v>60</v>
      </c>
      <c r="K30" s="18">
        <v>28</v>
      </c>
      <c r="L30" s="42">
        <v>2181.5500000000002</v>
      </c>
      <c r="M30" s="42">
        <v>7.76</v>
      </c>
      <c r="N30" s="42">
        <v>2189.64</v>
      </c>
      <c r="O30" s="10">
        <f t="shared" si="0"/>
        <v>8.0899999999996908</v>
      </c>
      <c r="P30" s="45">
        <v>1</v>
      </c>
    </row>
    <row r="31" spans="1:16" x14ac:dyDescent="0.35">
      <c r="A31" s="50" t="str">
        <f>'[1]Experiment Index'!E$7</f>
        <v>MORE_N.desiccata_July2025_Dens1</v>
      </c>
      <c r="B31" s="27" t="s">
        <v>101</v>
      </c>
      <c r="C31" s="17">
        <v>45874</v>
      </c>
      <c r="D31" s="19">
        <v>12</v>
      </c>
      <c r="E31" s="27" t="s">
        <v>33</v>
      </c>
      <c r="F31" s="1" t="s">
        <v>25</v>
      </c>
      <c r="G31" s="28" t="s">
        <v>66</v>
      </c>
      <c r="H31" s="17">
        <v>45883</v>
      </c>
      <c r="I31" s="35" t="s">
        <v>68</v>
      </c>
      <c r="J31" s="36" t="s">
        <v>61</v>
      </c>
      <c r="K31" s="18">
        <v>29</v>
      </c>
      <c r="L31" s="42">
        <v>2227.0700000000002</v>
      </c>
      <c r="M31" s="42">
        <v>5.26</v>
      </c>
      <c r="N31" s="42">
        <v>2232.4699999999998</v>
      </c>
      <c r="O31" s="10">
        <f t="shared" si="0"/>
        <v>5.3999999999996362</v>
      </c>
      <c r="P31" s="45">
        <v>1</v>
      </c>
    </row>
    <row r="32" spans="1:16" x14ac:dyDescent="0.35">
      <c r="A32" s="50" t="str">
        <f>'[1]Experiment Index'!E$7</f>
        <v>MORE_N.desiccata_July2025_Dens1</v>
      </c>
      <c r="B32" s="27" t="s">
        <v>102</v>
      </c>
      <c r="C32" s="17">
        <v>45874</v>
      </c>
      <c r="D32" s="19">
        <v>12</v>
      </c>
      <c r="E32" s="27" t="s">
        <v>31</v>
      </c>
      <c r="F32" s="1" t="s">
        <v>25</v>
      </c>
      <c r="G32" s="28" t="s">
        <v>66</v>
      </c>
      <c r="H32" s="17">
        <v>45883</v>
      </c>
      <c r="I32" s="35" t="s">
        <v>68</v>
      </c>
      <c r="J32" s="36" t="s">
        <v>62</v>
      </c>
      <c r="K32" s="18">
        <v>30</v>
      </c>
      <c r="L32" s="42">
        <v>2199.3200000000002</v>
      </c>
      <c r="M32" s="42">
        <v>7.62</v>
      </c>
      <c r="N32" s="42">
        <v>2207.14</v>
      </c>
      <c r="O32" s="10">
        <f t="shared" si="0"/>
        <v>7.819999999999709</v>
      </c>
      <c r="P32" s="45">
        <v>1</v>
      </c>
    </row>
    <row r="33" spans="1:17" x14ac:dyDescent="0.35">
      <c r="A33" s="50" t="str">
        <f>'[1]Experiment Index'!E$7</f>
        <v>MORE_N.desiccata_July2025_Dens1</v>
      </c>
      <c r="B33" s="27" t="s">
        <v>103</v>
      </c>
      <c r="C33" s="17">
        <v>45874</v>
      </c>
      <c r="D33" s="19">
        <v>12</v>
      </c>
      <c r="E33" s="27" t="s">
        <v>48</v>
      </c>
      <c r="F33" s="1" t="s">
        <v>25</v>
      </c>
      <c r="G33" s="28" t="s">
        <v>66</v>
      </c>
      <c r="H33" s="17">
        <v>45883</v>
      </c>
      <c r="I33" s="35" t="s">
        <v>68</v>
      </c>
      <c r="J33" s="36" t="s">
        <v>63</v>
      </c>
      <c r="K33" s="18">
        <v>31</v>
      </c>
      <c r="L33" s="42">
        <v>2197.46</v>
      </c>
      <c r="M33" s="42">
        <v>9.02</v>
      </c>
      <c r="N33" s="42">
        <v>2206.75</v>
      </c>
      <c r="O33" s="10">
        <f t="shared" si="0"/>
        <v>9.2899999999999636</v>
      </c>
      <c r="P33" s="45">
        <v>1</v>
      </c>
    </row>
    <row r="34" spans="1:17" x14ac:dyDescent="0.35">
      <c r="A34" s="50" t="str">
        <f>'[1]Experiment Index'!E$7</f>
        <v>MORE_N.desiccata_July2025_Dens1</v>
      </c>
      <c r="B34" s="27" t="s">
        <v>104</v>
      </c>
      <c r="C34" s="17">
        <v>45874</v>
      </c>
      <c r="D34" s="19">
        <v>12</v>
      </c>
      <c r="E34" s="27" t="s">
        <v>51</v>
      </c>
      <c r="F34" s="1" t="s">
        <v>25</v>
      </c>
      <c r="G34" s="28" t="s">
        <v>66</v>
      </c>
      <c r="H34" s="17">
        <v>45883</v>
      </c>
      <c r="I34" s="35" t="s">
        <v>68</v>
      </c>
      <c r="J34" s="36" t="s">
        <v>64</v>
      </c>
      <c r="K34" s="18">
        <v>32</v>
      </c>
      <c r="L34" s="42">
        <v>2212.7600000000002</v>
      </c>
      <c r="M34" s="42">
        <v>9.07</v>
      </c>
      <c r="N34" s="42">
        <v>2222.0700000000002</v>
      </c>
      <c r="O34" s="10">
        <f t="shared" si="0"/>
        <v>9.3099999999999454</v>
      </c>
      <c r="P34" s="45">
        <v>1</v>
      </c>
    </row>
    <row r="35" spans="1:17" x14ac:dyDescent="0.35">
      <c r="A35" s="50" t="str">
        <f>'[1]Experiment Index'!E$7</f>
        <v>MORE_N.desiccata_July2025_Dens1</v>
      </c>
      <c r="B35" s="27" t="s">
        <v>105</v>
      </c>
      <c r="C35" s="17">
        <v>45874</v>
      </c>
      <c r="D35" s="19">
        <v>12</v>
      </c>
      <c r="E35" s="27" t="s">
        <v>77</v>
      </c>
      <c r="F35" s="1" t="s">
        <v>25</v>
      </c>
      <c r="G35" s="28" t="s">
        <v>78</v>
      </c>
      <c r="H35" s="17">
        <v>45883</v>
      </c>
      <c r="I35" s="35" t="s">
        <v>68</v>
      </c>
      <c r="J35" s="36" t="s">
        <v>106</v>
      </c>
      <c r="K35" s="18">
        <v>33</v>
      </c>
      <c r="L35" s="42">
        <v>2214.65</v>
      </c>
      <c r="M35" s="42">
        <v>5.33</v>
      </c>
      <c r="N35" s="42">
        <v>2220.13</v>
      </c>
      <c r="O35" s="10">
        <f t="shared" si="0"/>
        <v>5.4800000000000182</v>
      </c>
      <c r="P35" s="45">
        <v>1</v>
      </c>
    </row>
    <row r="36" spans="1:17" x14ac:dyDescent="0.35">
      <c r="A36" s="50" t="str">
        <f>'[1]Experiment Index'!E$7</f>
        <v>MORE_N.desiccata_July2025_Dens1</v>
      </c>
      <c r="B36" s="27" t="s">
        <v>107</v>
      </c>
      <c r="C36" s="17">
        <v>45874</v>
      </c>
      <c r="D36" s="19">
        <v>12</v>
      </c>
      <c r="E36" s="27" t="s">
        <v>80</v>
      </c>
      <c r="F36" s="1" t="s">
        <v>25</v>
      </c>
      <c r="G36" s="28" t="s">
        <v>78</v>
      </c>
      <c r="H36" s="17">
        <v>45883</v>
      </c>
      <c r="I36" s="35" t="s">
        <v>68</v>
      </c>
      <c r="J36" s="36" t="s">
        <v>108</v>
      </c>
      <c r="K36" s="18">
        <v>34</v>
      </c>
      <c r="L36" s="42">
        <v>2237.3200000000002</v>
      </c>
      <c r="M36" s="42">
        <v>6.57</v>
      </c>
      <c r="N36" s="42">
        <v>2243.9</v>
      </c>
      <c r="O36" s="10">
        <f t="shared" si="0"/>
        <v>6.5799999999999272</v>
      </c>
      <c r="P36" s="45">
        <v>1</v>
      </c>
    </row>
    <row r="37" spans="1:17" x14ac:dyDescent="0.35">
      <c r="A37" s="50" t="str">
        <f>'[1]Experiment Index'!E$7</f>
        <v>MORE_N.desiccata_July2025_Dens1</v>
      </c>
      <c r="B37" s="27" t="s">
        <v>109</v>
      </c>
      <c r="C37" s="17">
        <v>45874</v>
      </c>
      <c r="D37" s="19">
        <v>12</v>
      </c>
      <c r="E37" s="27" t="s">
        <v>82</v>
      </c>
      <c r="F37" s="1" t="s">
        <v>25</v>
      </c>
      <c r="G37" s="28" t="s">
        <v>78</v>
      </c>
      <c r="H37" s="17">
        <v>45883</v>
      </c>
      <c r="I37" s="35" t="s">
        <v>68</v>
      </c>
      <c r="J37" s="36" t="s">
        <v>110</v>
      </c>
      <c r="K37" s="18">
        <v>35</v>
      </c>
      <c r="L37" s="42">
        <v>2204.2600000000002</v>
      </c>
      <c r="M37" s="42">
        <v>6.93</v>
      </c>
      <c r="N37" s="42">
        <v>2211.3000000000002</v>
      </c>
      <c r="O37" s="10">
        <f t="shared" si="0"/>
        <v>7.0399999999999636</v>
      </c>
      <c r="P37" s="45">
        <v>1</v>
      </c>
    </row>
    <row r="38" spans="1:17" x14ac:dyDescent="0.35">
      <c r="A38" s="50" t="str">
        <f>'[1]Experiment Index'!E$7</f>
        <v>MORE_N.desiccata_July2025_Dens1</v>
      </c>
      <c r="B38" s="27" t="s">
        <v>111</v>
      </c>
      <c r="C38" s="17">
        <v>45874</v>
      </c>
      <c r="D38" s="19">
        <v>12</v>
      </c>
      <c r="E38" s="27" t="s">
        <v>84</v>
      </c>
      <c r="F38" s="1" t="s">
        <v>25</v>
      </c>
      <c r="G38" s="28" t="s">
        <v>78</v>
      </c>
      <c r="H38" s="17">
        <v>45883</v>
      </c>
      <c r="I38" s="35" t="s">
        <v>68</v>
      </c>
      <c r="J38" s="37" t="s">
        <v>112</v>
      </c>
      <c r="K38" s="18">
        <v>36</v>
      </c>
      <c r="L38" s="42">
        <v>2226.27</v>
      </c>
      <c r="M38" s="42">
        <v>6.53</v>
      </c>
      <c r="N38" s="42">
        <v>2233.0100000000002</v>
      </c>
      <c r="O38" s="10">
        <f t="shared" si="0"/>
        <v>6.7400000000002365</v>
      </c>
      <c r="P38" s="45">
        <v>1</v>
      </c>
    </row>
    <row r="39" spans="1:17" x14ac:dyDescent="0.35">
      <c r="A39" s="50" t="str">
        <f>'[1]Experiment Index'!E$7</f>
        <v>MORE_N.desiccata_July2025_Dens1</v>
      </c>
      <c r="B39" s="28" t="s">
        <v>18</v>
      </c>
      <c r="C39" s="7" t="s">
        <v>19</v>
      </c>
      <c r="D39" s="8" t="s">
        <v>19</v>
      </c>
      <c r="E39" s="27" t="s">
        <v>19</v>
      </c>
      <c r="F39" s="1" t="s">
        <v>20</v>
      </c>
      <c r="G39" s="28" t="s">
        <v>21</v>
      </c>
      <c r="H39" s="17">
        <v>45883</v>
      </c>
      <c r="I39" s="35" t="s">
        <v>68</v>
      </c>
      <c r="J39" s="38" t="s">
        <v>18</v>
      </c>
      <c r="K39" s="9" t="s">
        <v>18</v>
      </c>
      <c r="L39" s="42">
        <v>2201.0700000000002</v>
      </c>
      <c r="M39" s="42">
        <v>9.2899999999999991</v>
      </c>
      <c r="N39" s="42">
        <v>2210.19</v>
      </c>
      <c r="O39" s="10">
        <f t="shared" si="0"/>
        <v>9.1199999999998909</v>
      </c>
      <c r="P39" s="45">
        <v>1</v>
      </c>
    </row>
    <row r="40" spans="1:17" x14ac:dyDescent="0.35">
      <c r="A40" s="50" t="str">
        <f>'[1]Experiment Index'!E$7</f>
        <v>MORE_N.desiccata_July2025_Dens1</v>
      </c>
      <c r="B40" s="28" t="s">
        <v>22</v>
      </c>
      <c r="C40" s="7" t="s">
        <v>19</v>
      </c>
      <c r="D40" s="8" t="s">
        <v>19</v>
      </c>
      <c r="E40" s="27" t="s">
        <v>19</v>
      </c>
      <c r="F40" s="1" t="s">
        <v>20</v>
      </c>
      <c r="G40" s="28" t="s">
        <v>21</v>
      </c>
      <c r="H40" s="17">
        <v>45883</v>
      </c>
      <c r="I40" s="35" t="s">
        <v>68</v>
      </c>
      <c r="J40" s="38" t="s">
        <v>22</v>
      </c>
      <c r="K40" s="9" t="s">
        <v>22</v>
      </c>
      <c r="L40" s="42">
        <v>2238.77</v>
      </c>
      <c r="M40" s="42">
        <v>7.72</v>
      </c>
      <c r="N40" s="42">
        <v>2246.35</v>
      </c>
      <c r="O40" s="10">
        <f t="shared" si="0"/>
        <v>7.5799999999999272</v>
      </c>
      <c r="P40" s="45">
        <v>1</v>
      </c>
    </row>
    <row r="41" spans="1:17" x14ac:dyDescent="0.35">
      <c r="A41" s="51" t="str">
        <f>'[1]Experiment Index'!E$7</f>
        <v>MORE_N.desiccata_July2025_Dens1</v>
      </c>
      <c r="B41" s="29" t="s">
        <v>23</v>
      </c>
      <c r="C41" s="12" t="s">
        <v>19</v>
      </c>
      <c r="D41" s="13" t="s">
        <v>19</v>
      </c>
      <c r="E41" s="32" t="s">
        <v>19</v>
      </c>
      <c r="F41" s="14" t="s">
        <v>20</v>
      </c>
      <c r="G41" s="29" t="s">
        <v>21</v>
      </c>
      <c r="H41" s="21">
        <v>45883</v>
      </c>
      <c r="I41" s="39" t="s">
        <v>68</v>
      </c>
      <c r="J41" s="40" t="s">
        <v>23</v>
      </c>
      <c r="K41" s="15" t="s">
        <v>23</v>
      </c>
      <c r="L41" s="43">
        <v>2211.5100000000002</v>
      </c>
      <c r="M41" s="43">
        <v>6.53</v>
      </c>
      <c r="N41" s="43">
        <v>2217.86</v>
      </c>
      <c r="O41" s="16">
        <f t="shared" si="0"/>
        <v>6.3499999999999091</v>
      </c>
      <c r="P41" s="46">
        <v>1</v>
      </c>
      <c r="Q41"/>
    </row>
    <row r="42" spans="1:17" x14ac:dyDescent="0.35">
      <c r="A42" s="50" t="str">
        <f>'[1]Experiment Index'!E$8</f>
        <v>MORE_N.desiccata_Oct2025_Dens2</v>
      </c>
      <c r="B42" s="27" t="s">
        <v>113</v>
      </c>
      <c r="C42" s="17">
        <v>45944</v>
      </c>
      <c r="D42" s="20">
        <v>3.875</v>
      </c>
      <c r="E42" s="27" t="s">
        <v>24</v>
      </c>
      <c r="F42" s="1" t="s">
        <v>25</v>
      </c>
      <c r="G42" s="28" t="s">
        <v>65</v>
      </c>
      <c r="H42" s="17">
        <v>45966</v>
      </c>
      <c r="I42" s="35" t="s">
        <v>114</v>
      </c>
      <c r="J42" s="38" t="s">
        <v>26</v>
      </c>
      <c r="K42" s="18">
        <v>1</v>
      </c>
      <c r="L42" s="42">
        <v>2240.46</v>
      </c>
      <c r="M42" s="42">
        <v>5.44</v>
      </c>
      <c r="N42" s="42">
        <v>2246.0300000000002</v>
      </c>
      <c r="O42" s="20">
        <f t="shared" si="0"/>
        <v>5.5700000000001637</v>
      </c>
      <c r="P42" s="45">
        <v>1</v>
      </c>
    </row>
    <row r="43" spans="1:17" x14ac:dyDescent="0.35">
      <c r="A43" s="50" t="str">
        <f>'[1]Experiment Index'!E$8</f>
        <v>MORE_N.desiccata_Oct2025_Dens2</v>
      </c>
      <c r="B43" s="27" t="s">
        <v>115</v>
      </c>
      <c r="C43" s="17">
        <v>45944</v>
      </c>
      <c r="D43" s="20">
        <v>3.875</v>
      </c>
      <c r="E43" s="27" t="s">
        <v>27</v>
      </c>
      <c r="F43" s="1" t="s">
        <v>25</v>
      </c>
      <c r="G43" s="28" t="s">
        <v>65</v>
      </c>
      <c r="H43" s="17">
        <v>45966</v>
      </c>
      <c r="I43" s="35" t="s">
        <v>114</v>
      </c>
      <c r="J43" s="38" t="s">
        <v>28</v>
      </c>
      <c r="K43" s="18">
        <v>2</v>
      </c>
      <c r="L43" s="42">
        <v>2224.11</v>
      </c>
      <c r="M43" s="42">
        <v>6.67</v>
      </c>
      <c r="N43" s="42">
        <v>2231.02</v>
      </c>
      <c r="O43" s="20">
        <f t="shared" si="0"/>
        <v>6.9099999999998545</v>
      </c>
      <c r="P43" s="42">
        <v>1</v>
      </c>
    </row>
    <row r="44" spans="1:17" x14ac:dyDescent="0.35">
      <c r="A44" s="50" t="str">
        <f>'[1]Experiment Index'!E$8</f>
        <v>MORE_N.desiccata_Oct2025_Dens2</v>
      </c>
      <c r="B44" s="27" t="s">
        <v>116</v>
      </c>
      <c r="C44" s="17">
        <v>45944</v>
      </c>
      <c r="D44" s="20">
        <v>3.875</v>
      </c>
      <c r="E44" s="27" t="s">
        <v>29</v>
      </c>
      <c r="F44" s="1" t="s">
        <v>25</v>
      </c>
      <c r="G44" s="28" t="s">
        <v>65</v>
      </c>
      <c r="H44" s="17">
        <v>45966</v>
      </c>
      <c r="I44" s="35" t="s">
        <v>114</v>
      </c>
      <c r="J44" s="38" t="s">
        <v>30</v>
      </c>
      <c r="K44" s="18">
        <v>3</v>
      </c>
      <c r="L44" s="42">
        <v>2223.31</v>
      </c>
      <c r="M44" s="42">
        <v>5.07</v>
      </c>
      <c r="N44" s="42">
        <v>2228.39</v>
      </c>
      <c r="O44" s="20">
        <f t="shared" si="0"/>
        <v>5.0799999999999272</v>
      </c>
      <c r="P44" s="42">
        <v>1</v>
      </c>
    </row>
    <row r="45" spans="1:17" x14ac:dyDescent="0.35">
      <c r="A45" s="50" t="str">
        <f>'[1]Experiment Index'!E$8</f>
        <v>MORE_N.desiccata_Oct2025_Dens2</v>
      </c>
      <c r="B45" s="27" t="s">
        <v>117</v>
      </c>
      <c r="C45" s="17">
        <v>45944</v>
      </c>
      <c r="D45" s="20">
        <v>3.875</v>
      </c>
      <c r="E45" s="27" t="s">
        <v>50</v>
      </c>
      <c r="F45" s="1" t="s">
        <v>25</v>
      </c>
      <c r="G45" s="28" t="s">
        <v>65</v>
      </c>
      <c r="H45" s="17">
        <v>45966</v>
      </c>
      <c r="I45" s="35" t="s">
        <v>114</v>
      </c>
      <c r="J45" s="38" t="s">
        <v>32</v>
      </c>
      <c r="K45" s="18">
        <v>4</v>
      </c>
      <c r="L45" s="42">
        <v>2201.31</v>
      </c>
      <c r="M45" s="42">
        <v>7.53</v>
      </c>
      <c r="N45" s="42">
        <v>2209.0100000000002</v>
      </c>
      <c r="O45" s="20">
        <f t="shared" si="0"/>
        <v>7.7000000000002728</v>
      </c>
      <c r="P45" s="42">
        <v>1</v>
      </c>
    </row>
    <row r="46" spans="1:17" x14ac:dyDescent="0.35">
      <c r="A46" s="50" t="str">
        <f>'[1]Experiment Index'!E$8</f>
        <v>MORE_N.desiccata_Oct2025_Dens2</v>
      </c>
      <c r="B46" s="27" t="s">
        <v>118</v>
      </c>
      <c r="C46" s="17">
        <v>45944</v>
      </c>
      <c r="D46" s="20">
        <v>3.875</v>
      </c>
      <c r="E46" s="27" t="s">
        <v>33</v>
      </c>
      <c r="F46" s="1" t="s">
        <v>25</v>
      </c>
      <c r="G46" s="28" t="s">
        <v>66</v>
      </c>
      <c r="H46" s="17">
        <v>45966</v>
      </c>
      <c r="I46" s="35" t="s">
        <v>114</v>
      </c>
      <c r="J46" s="38" t="s">
        <v>34</v>
      </c>
      <c r="K46" s="18">
        <v>5</v>
      </c>
      <c r="L46" s="42">
        <v>2238.91</v>
      </c>
      <c r="M46" s="42">
        <v>6.24</v>
      </c>
      <c r="N46" s="42">
        <v>2245.3000000000002</v>
      </c>
      <c r="O46" s="20">
        <f t="shared" si="0"/>
        <v>6.3900000000003274</v>
      </c>
      <c r="P46" s="42">
        <v>1</v>
      </c>
    </row>
    <row r="47" spans="1:17" x14ac:dyDescent="0.35">
      <c r="A47" s="50" t="str">
        <f>'[1]Experiment Index'!E$8</f>
        <v>MORE_N.desiccata_Oct2025_Dens2</v>
      </c>
      <c r="B47" s="27" t="s">
        <v>119</v>
      </c>
      <c r="C47" s="17">
        <v>45944</v>
      </c>
      <c r="D47" s="20">
        <v>3.875</v>
      </c>
      <c r="E47" s="27" t="s">
        <v>31</v>
      </c>
      <c r="F47" s="1" t="s">
        <v>25</v>
      </c>
      <c r="G47" s="28" t="s">
        <v>66</v>
      </c>
      <c r="H47" s="17">
        <v>45966</v>
      </c>
      <c r="I47" s="35" t="s">
        <v>114</v>
      </c>
      <c r="J47" s="38" t="s">
        <v>35</v>
      </c>
      <c r="K47" s="18">
        <v>6</v>
      </c>
      <c r="L47" s="42">
        <v>2220.15</v>
      </c>
      <c r="M47" s="42">
        <v>5.34</v>
      </c>
      <c r="N47" s="42">
        <v>2225.6</v>
      </c>
      <c r="O47" s="20">
        <f t="shared" si="0"/>
        <v>5.4499999999998181</v>
      </c>
      <c r="P47" s="42">
        <v>1</v>
      </c>
    </row>
    <row r="48" spans="1:17" x14ac:dyDescent="0.35">
      <c r="A48" s="50" t="str">
        <f>'[1]Experiment Index'!E$8</f>
        <v>MORE_N.desiccata_Oct2025_Dens2</v>
      </c>
      <c r="B48" s="27" t="s">
        <v>120</v>
      </c>
      <c r="C48" s="17">
        <v>45944</v>
      </c>
      <c r="D48" s="20">
        <v>3.875</v>
      </c>
      <c r="E48" s="27" t="s">
        <v>48</v>
      </c>
      <c r="F48" s="1" t="s">
        <v>25</v>
      </c>
      <c r="G48" s="28" t="s">
        <v>66</v>
      </c>
      <c r="H48" s="17">
        <v>45966</v>
      </c>
      <c r="I48" s="35" t="s">
        <v>114</v>
      </c>
      <c r="J48" s="38" t="s">
        <v>36</v>
      </c>
      <c r="K48" s="18">
        <v>7</v>
      </c>
      <c r="L48" s="42">
        <v>2215.81</v>
      </c>
      <c r="M48" s="42">
        <v>5.94</v>
      </c>
      <c r="N48" s="42">
        <v>2221.9899999999998</v>
      </c>
      <c r="O48" s="20">
        <f t="shared" si="0"/>
        <v>6.1799999999998363</v>
      </c>
      <c r="P48" s="42">
        <v>1</v>
      </c>
    </row>
    <row r="49" spans="1:16" x14ac:dyDescent="0.35">
      <c r="A49" s="50" t="str">
        <f>'[1]Experiment Index'!E$8</f>
        <v>MORE_N.desiccata_Oct2025_Dens2</v>
      </c>
      <c r="B49" s="27" t="s">
        <v>121</v>
      </c>
      <c r="C49" s="17">
        <v>45944</v>
      </c>
      <c r="D49" s="20">
        <v>3.875</v>
      </c>
      <c r="E49" s="27" t="s">
        <v>51</v>
      </c>
      <c r="F49" s="1" t="s">
        <v>25</v>
      </c>
      <c r="G49" s="28" t="s">
        <v>66</v>
      </c>
      <c r="H49" s="17">
        <v>45966</v>
      </c>
      <c r="I49" s="35" t="s">
        <v>114</v>
      </c>
      <c r="J49" s="38" t="s">
        <v>37</v>
      </c>
      <c r="K49" s="18">
        <v>8</v>
      </c>
      <c r="L49" s="42">
        <v>2221.86</v>
      </c>
      <c r="M49" s="42">
        <v>5.32</v>
      </c>
      <c r="N49" s="42">
        <v>2227.3200000000002</v>
      </c>
      <c r="O49" s="20">
        <f t="shared" si="0"/>
        <v>5.4600000000000364</v>
      </c>
      <c r="P49" s="42">
        <v>1</v>
      </c>
    </row>
    <row r="50" spans="1:16" x14ac:dyDescent="0.35">
      <c r="A50" s="50" t="str">
        <f>'[1]Experiment Index'!E$8</f>
        <v>MORE_N.desiccata_Oct2025_Dens2</v>
      </c>
      <c r="B50" s="27" t="s">
        <v>122</v>
      </c>
      <c r="C50" s="17">
        <v>45944</v>
      </c>
      <c r="D50" s="20">
        <v>3.875</v>
      </c>
      <c r="E50" s="27" t="s">
        <v>77</v>
      </c>
      <c r="F50" s="1" t="s">
        <v>25</v>
      </c>
      <c r="G50" s="28" t="s">
        <v>78</v>
      </c>
      <c r="H50" s="17">
        <v>45966</v>
      </c>
      <c r="I50" s="35" t="s">
        <v>114</v>
      </c>
      <c r="J50" s="38" t="s">
        <v>38</v>
      </c>
      <c r="K50" s="18">
        <v>9</v>
      </c>
      <c r="L50" s="42">
        <v>2211.6</v>
      </c>
      <c r="M50" s="42">
        <v>9.9499999999999993</v>
      </c>
      <c r="N50" s="42">
        <v>2221.75</v>
      </c>
      <c r="O50" s="20">
        <f>N50-L50</f>
        <v>10.150000000000091</v>
      </c>
      <c r="P50" s="42">
        <v>1</v>
      </c>
    </row>
    <row r="51" spans="1:16" x14ac:dyDescent="0.35">
      <c r="A51" s="50" t="str">
        <f>'[1]Experiment Index'!E$8</f>
        <v>MORE_N.desiccata_Oct2025_Dens2</v>
      </c>
      <c r="B51" s="27" t="s">
        <v>123</v>
      </c>
      <c r="C51" s="17">
        <v>45944</v>
      </c>
      <c r="D51" s="20">
        <v>3.875</v>
      </c>
      <c r="E51" s="27" t="s">
        <v>80</v>
      </c>
      <c r="F51" s="1" t="s">
        <v>25</v>
      </c>
      <c r="G51" s="28" t="s">
        <v>78</v>
      </c>
      <c r="H51" s="17">
        <v>45966</v>
      </c>
      <c r="I51" s="35" t="s">
        <v>114</v>
      </c>
      <c r="J51" s="38" t="s">
        <v>39</v>
      </c>
      <c r="K51" s="18">
        <v>10</v>
      </c>
      <c r="L51" s="42">
        <v>2220.29</v>
      </c>
      <c r="M51" s="42">
        <v>7.29</v>
      </c>
      <c r="N51" s="42">
        <v>2227.7800000000002</v>
      </c>
      <c r="O51" s="20">
        <f t="shared" si="0"/>
        <v>7.4900000000002365</v>
      </c>
      <c r="P51" s="42">
        <v>1</v>
      </c>
    </row>
    <row r="52" spans="1:16" x14ac:dyDescent="0.35">
      <c r="A52" s="50" t="str">
        <f>'[1]Experiment Index'!E$8</f>
        <v>MORE_N.desiccata_Oct2025_Dens2</v>
      </c>
      <c r="B52" s="27" t="s">
        <v>124</v>
      </c>
      <c r="C52" s="17">
        <v>45944</v>
      </c>
      <c r="D52" s="20">
        <v>3.875</v>
      </c>
      <c r="E52" s="27" t="s">
        <v>82</v>
      </c>
      <c r="F52" s="1" t="s">
        <v>25</v>
      </c>
      <c r="G52" s="28" t="s">
        <v>78</v>
      </c>
      <c r="H52" s="17">
        <v>45966</v>
      </c>
      <c r="I52" s="35" t="s">
        <v>114</v>
      </c>
      <c r="J52" s="38" t="s">
        <v>40</v>
      </c>
      <c r="K52" s="18">
        <v>11</v>
      </c>
      <c r="L52" s="42">
        <v>2198.4299999999998</v>
      </c>
      <c r="M52" s="42">
        <v>5.44</v>
      </c>
      <c r="N52" s="42">
        <v>2204.04</v>
      </c>
      <c r="O52" s="20">
        <f t="shared" si="0"/>
        <v>5.6100000000001273</v>
      </c>
      <c r="P52" s="42">
        <v>1</v>
      </c>
    </row>
    <row r="53" spans="1:16" x14ac:dyDescent="0.35">
      <c r="A53" s="50" t="str">
        <f>'[1]Experiment Index'!E$8</f>
        <v>MORE_N.desiccata_Oct2025_Dens2</v>
      </c>
      <c r="B53" s="27" t="s">
        <v>125</v>
      </c>
      <c r="C53" s="17">
        <v>45944</v>
      </c>
      <c r="D53" s="20">
        <v>3.875</v>
      </c>
      <c r="E53" s="27" t="s">
        <v>84</v>
      </c>
      <c r="F53" s="1" t="s">
        <v>25</v>
      </c>
      <c r="G53" s="28" t="s">
        <v>78</v>
      </c>
      <c r="H53" s="17">
        <v>45966</v>
      </c>
      <c r="I53" s="35" t="s">
        <v>114</v>
      </c>
      <c r="J53" s="38" t="s">
        <v>41</v>
      </c>
      <c r="K53" s="18">
        <v>12</v>
      </c>
      <c r="L53" s="42">
        <v>2249.91</v>
      </c>
      <c r="M53" s="42">
        <v>6.34</v>
      </c>
      <c r="N53" s="42">
        <v>2256.5500000000002</v>
      </c>
      <c r="O53" s="20">
        <f t="shared" si="0"/>
        <v>6.6400000000003274</v>
      </c>
      <c r="P53" s="42">
        <v>1</v>
      </c>
    </row>
    <row r="54" spans="1:16" x14ac:dyDescent="0.35">
      <c r="A54" s="50" t="str">
        <f>'[1]Experiment Index'!E$8</f>
        <v>MORE_N.desiccata_Oct2025_Dens2</v>
      </c>
      <c r="B54" s="27" t="s">
        <v>126</v>
      </c>
      <c r="C54" s="17">
        <v>45948</v>
      </c>
      <c r="D54" s="20">
        <v>7.875</v>
      </c>
      <c r="E54" s="27" t="s">
        <v>24</v>
      </c>
      <c r="F54" s="1" t="s">
        <v>25</v>
      </c>
      <c r="G54" s="28" t="s">
        <v>65</v>
      </c>
      <c r="H54" s="17">
        <v>45966</v>
      </c>
      <c r="I54" s="35" t="s">
        <v>114</v>
      </c>
      <c r="J54" s="38" t="s">
        <v>42</v>
      </c>
      <c r="K54" s="18">
        <v>13</v>
      </c>
      <c r="L54" s="42">
        <v>2234.39</v>
      </c>
      <c r="M54" s="42">
        <v>6.25</v>
      </c>
      <c r="N54" s="42">
        <v>2240.8000000000002</v>
      </c>
      <c r="O54" s="20">
        <f t="shared" si="0"/>
        <v>6.4100000000003092</v>
      </c>
      <c r="P54" s="42">
        <v>1</v>
      </c>
    </row>
    <row r="55" spans="1:16" x14ac:dyDescent="0.35">
      <c r="A55" s="50" t="str">
        <f>'[1]Experiment Index'!E$8</f>
        <v>MORE_N.desiccata_Oct2025_Dens2</v>
      </c>
      <c r="B55" s="27" t="s">
        <v>127</v>
      </c>
      <c r="C55" s="17">
        <v>45948</v>
      </c>
      <c r="D55" s="20">
        <v>7.875</v>
      </c>
      <c r="E55" s="27" t="s">
        <v>27</v>
      </c>
      <c r="F55" s="1" t="s">
        <v>25</v>
      </c>
      <c r="G55" s="28" t="s">
        <v>65</v>
      </c>
      <c r="H55" s="17">
        <v>45966</v>
      </c>
      <c r="I55" s="35" t="s">
        <v>114</v>
      </c>
      <c r="J55" s="38" t="s">
        <v>43</v>
      </c>
      <c r="K55" s="18">
        <v>14</v>
      </c>
      <c r="L55" s="42">
        <v>2237.0300000000002</v>
      </c>
      <c r="M55" s="42">
        <v>6.06</v>
      </c>
      <c r="N55" s="42">
        <v>2243.36</v>
      </c>
      <c r="O55" s="20">
        <f t="shared" si="0"/>
        <v>6.3299999999999272</v>
      </c>
      <c r="P55" s="42">
        <v>1</v>
      </c>
    </row>
    <row r="56" spans="1:16" x14ac:dyDescent="0.35">
      <c r="A56" s="50" t="str">
        <f>'[1]Experiment Index'!E$8</f>
        <v>MORE_N.desiccata_Oct2025_Dens2</v>
      </c>
      <c r="B56" s="27" t="s">
        <v>128</v>
      </c>
      <c r="C56" s="17">
        <v>45948</v>
      </c>
      <c r="D56" s="20">
        <v>7.875</v>
      </c>
      <c r="E56" s="27" t="s">
        <v>29</v>
      </c>
      <c r="F56" s="1" t="s">
        <v>25</v>
      </c>
      <c r="G56" s="28" t="s">
        <v>65</v>
      </c>
      <c r="H56" s="17">
        <v>45966</v>
      </c>
      <c r="I56" s="35" t="s">
        <v>114</v>
      </c>
      <c r="J56" s="38" t="s">
        <v>44</v>
      </c>
      <c r="K56" s="18">
        <v>15</v>
      </c>
      <c r="L56" s="42">
        <v>2213.1999999999998</v>
      </c>
      <c r="M56" s="42">
        <v>5.23</v>
      </c>
      <c r="N56" s="42">
        <v>2218.8000000000002</v>
      </c>
      <c r="O56" s="20">
        <f t="shared" si="0"/>
        <v>5.6000000000003638</v>
      </c>
      <c r="P56" s="42">
        <v>1</v>
      </c>
    </row>
    <row r="57" spans="1:16" x14ac:dyDescent="0.35">
      <c r="A57" s="50" t="str">
        <f>'[1]Experiment Index'!E$8</f>
        <v>MORE_N.desiccata_Oct2025_Dens2</v>
      </c>
      <c r="B57" s="27" t="s">
        <v>129</v>
      </c>
      <c r="C57" s="17">
        <v>45948</v>
      </c>
      <c r="D57" s="20">
        <v>7.875</v>
      </c>
      <c r="E57" s="27" t="s">
        <v>50</v>
      </c>
      <c r="F57" s="1" t="s">
        <v>25</v>
      </c>
      <c r="G57" s="28" t="s">
        <v>65</v>
      </c>
      <c r="H57" s="17">
        <v>45966</v>
      </c>
      <c r="I57" s="35" t="s">
        <v>114</v>
      </c>
      <c r="J57" s="38" t="s">
        <v>45</v>
      </c>
      <c r="K57" s="18">
        <v>16</v>
      </c>
      <c r="L57" s="42">
        <v>2234.33</v>
      </c>
      <c r="M57" s="42">
        <v>6.58</v>
      </c>
      <c r="N57" s="42">
        <v>2241.14</v>
      </c>
      <c r="O57" s="20">
        <f t="shared" si="0"/>
        <v>6.8099999999999454</v>
      </c>
      <c r="P57" s="42">
        <v>1</v>
      </c>
    </row>
    <row r="58" spans="1:16" x14ac:dyDescent="0.35">
      <c r="A58" s="50" t="str">
        <f>'[1]Experiment Index'!E$8</f>
        <v>MORE_N.desiccata_Oct2025_Dens2</v>
      </c>
      <c r="B58" s="27" t="s">
        <v>130</v>
      </c>
      <c r="C58" s="17">
        <v>45948</v>
      </c>
      <c r="D58" s="20">
        <v>7.875</v>
      </c>
      <c r="E58" s="27" t="s">
        <v>33</v>
      </c>
      <c r="F58" s="1" t="s">
        <v>25</v>
      </c>
      <c r="G58" s="28" t="s">
        <v>66</v>
      </c>
      <c r="H58" s="17">
        <v>45966</v>
      </c>
      <c r="I58" s="35" t="s">
        <v>114</v>
      </c>
      <c r="J58" s="38" t="s">
        <v>46</v>
      </c>
      <c r="K58" s="18">
        <v>17</v>
      </c>
      <c r="L58" s="42">
        <v>2216.54</v>
      </c>
      <c r="M58" s="42">
        <v>5.7</v>
      </c>
      <c r="N58" s="42">
        <v>2222.46</v>
      </c>
      <c r="O58" s="20">
        <f t="shared" si="0"/>
        <v>5.9200000000000728</v>
      </c>
      <c r="P58" s="42">
        <v>1</v>
      </c>
    </row>
    <row r="59" spans="1:16" x14ac:dyDescent="0.35">
      <c r="A59" s="50" t="str">
        <f>'[1]Experiment Index'!E$8</f>
        <v>MORE_N.desiccata_Oct2025_Dens2</v>
      </c>
      <c r="B59" s="27" t="s">
        <v>131</v>
      </c>
      <c r="C59" s="17">
        <v>45948</v>
      </c>
      <c r="D59" s="20">
        <v>7.875</v>
      </c>
      <c r="E59" s="27" t="s">
        <v>31</v>
      </c>
      <c r="F59" s="1" t="s">
        <v>25</v>
      </c>
      <c r="G59" s="28" t="s">
        <v>66</v>
      </c>
      <c r="H59" s="17">
        <v>45966</v>
      </c>
      <c r="I59" s="35" t="s">
        <v>114</v>
      </c>
      <c r="J59" s="38" t="s">
        <v>47</v>
      </c>
      <c r="K59" s="18">
        <v>18</v>
      </c>
      <c r="L59" s="42">
        <v>2241.35</v>
      </c>
      <c r="M59" s="42">
        <v>5.45</v>
      </c>
      <c r="N59" s="42">
        <v>2247.0700000000002</v>
      </c>
      <c r="O59" s="20">
        <f t="shared" si="0"/>
        <v>5.7200000000002547</v>
      </c>
      <c r="P59" s="42">
        <v>1</v>
      </c>
    </row>
    <row r="60" spans="1:16" x14ac:dyDescent="0.35">
      <c r="A60" s="50" t="str">
        <f>'[1]Experiment Index'!E$8</f>
        <v>MORE_N.desiccata_Oct2025_Dens2</v>
      </c>
      <c r="B60" s="27" t="s">
        <v>132</v>
      </c>
      <c r="C60" s="17">
        <v>45948</v>
      </c>
      <c r="D60" s="20">
        <v>7.875</v>
      </c>
      <c r="E60" s="27" t="s">
        <v>48</v>
      </c>
      <c r="F60" s="1" t="s">
        <v>25</v>
      </c>
      <c r="G60" s="28" t="s">
        <v>66</v>
      </c>
      <c r="H60" s="17">
        <v>45966</v>
      </c>
      <c r="I60" s="35" t="s">
        <v>114</v>
      </c>
      <c r="J60" s="38" t="s">
        <v>49</v>
      </c>
      <c r="K60" s="18">
        <v>19</v>
      </c>
      <c r="L60" s="42">
        <v>2197.89</v>
      </c>
      <c r="M60" s="42">
        <v>6.77</v>
      </c>
      <c r="N60" s="42">
        <v>2204.9499999999998</v>
      </c>
      <c r="O60" s="20">
        <f t="shared" si="0"/>
        <v>7.0599999999999454</v>
      </c>
      <c r="P60" s="42">
        <v>1</v>
      </c>
    </row>
    <row r="61" spans="1:16" x14ac:dyDescent="0.35">
      <c r="A61" s="50" t="str">
        <f>'[1]Experiment Index'!E$8</f>
        <v>MORE_N.desiccata_Oct2025_Dens2</v>
      </c>
      <c r="B61" s="27" t="s">
        <v>133</v>
      </c>
      <c r="C61" s="17">
        <v>45948</v>
      </c>
      <c r="D61" s="20">
        <v>7.875</v>
      </c>
      <c r="E61" s="27" t="s">
        <v>51</v>
      </c>
      <c r="F61" s="1" t="s">
        <v>25</v>
      </c>
      <c r="G61" s="28" t="s">
        <v>66</v>
      </c>
      <c r="H61" s="17">
        <v>45966</v>
      </c>
      <c r="I61" s="35" t="s">
        <v>114</v>
      </c>
      <c r="J61" s="38" t="s">
        <v>52</v>
      </c>
      <c r="K61" s="18">
        <v>20</v>
      </c>
      <c r="L61" s="42">
        <v>2219.2399999999998</v>
      </c>
      <c r="M61" s="42">
        <v>5.47</v>
      </c>
      <c r="N61" s="42">
        <v>2224.94</v>
      </c>
      <c r="O61" s="20">
        <f t="shared" si="0"/>
        <v>5.7000000000002728</v>
      </c>
      <c r="P61" s="42">
        <v>1</v>
      </c>
    </row>
    <row r="62" spans="1:16" x14ac:dyDescent="0.35">
      <c r="A62" s="50" t="str">
        <f>'[1]Experiment Index'!E$8</f>
        <v>MORE_N.desiccata_Oct2025_Dens2</v>
      </c>
      <c r="B62" s="27" t="s">
        <v>134</v>
      </c>
      <c r="C62" s="17">
        <v>45948</v>
      </c>
      <c r="D62" s="20">
        <v>7.875</v>
      </c>
      <c r="E62" s="27" t="s">
        <v>77</v>
      </c>
      <c r="F62" s="1" t="s">
        <v>25</v>
      </c>
      <c r="G62" s="28" t="s">
        <v>78</v>
      </c>
      <c r="H62" s="17">
        <v>45966</v>
      </c>
      <c r="I62" s="35" t="s">
        <v>114</v>
      </c>
      <c r="J62" s="38" t="s">
        <v>53</v>
      </c>
      <c r="K62" s="18">
        <v>21</v>
      </c>
      <c r="L62" s="42">
        <v>2232.14</v>
      </c>
      <c r="M62" s="42">
        <v>6.33</v>
      </c>
      <c r="N62" s="42">
        <v>2238.66</v>
      </c>
      <c r="O62" s="20">
        <f t="shared" si="0"/>
        <v>6.5199999999999818</v>
      </c>
      <c r="P62" s="42">
        <v>1</v>
      </c>
    </row>
    <row r="63" spans="1:16" x14ac:dyDescent="0.35">
      <c r="A63" s="50" t="str">
        <f>'[1]Experiment Index'!E$8</f>
        <v>MORE_N.desiccata_Oct2025_Dens2</v>
      </c>
      <c r="B63" s="27" t="s">
        <v>135</v>
      </c>
      <c r="C63" s="17">
        <v>45948</v>
      </c>
      <c r="D63" s="20">
        <v>7.875</v>
      </c>
      <c r="E63" s="27" t="s">
        <v>80</v>
      </c>
      <c r="F63" s="1" t="s">
        <v>25</v>
      </c>
      <c r="G63" s="28" t="s">
        <v>78</v>
      </c>
      <c r="H63" s="17">
        <v>45966</v>
      </c>
      <c r="I63" s="35" t="s">
        <v>114</v>
      </c>
      <c r="J63" s="38" t="s">
        <v>54</v>
      </c>
      <c r="K63" s="18">
        <v>22</v>
      </c>
      <c r="L63" s="42">
        <v>2226.77</v>
      </c>
      <c r="M63" s="42">
        <v>6.21</v>
      </c>
      <c r="N63" s="42">
        <v>2233.1999999999998</v>
      </c>
      <c r="O63" s="20">
        <f t="shared" si="0"/>
        <v>6.4299999999998363</v>
      </c>
      <c r="P63" s="42">
        <v>1</v>
      </c>
    </row>
    <row r="64" spans="1:16" x14ac:dyDescent="0.35">
      <c r="A64" s="50" t="str">
        <f>'[1]Experiment Index'!E$8</f>
        <v>MORE_N.desiccata_Oct2025_Dens2</v>
      </c>
      <c r="B64" s="27" t="s">
        <v>136</v>
      </c>
      <c r="C64" s="17">
        <v>45948</v>
      </c>
      <c r="D64" s="20">
        <v>7.875</v>
      </c>
      <c r="E64" s="27" t="s">
        <v>82</v>
      </c>
      <c r="F64" s="1" t="s">
        <v>25</v>
      </c>
      <c r="G64" s="28" t="s">
        <v>78</v>
      </c>
      <c r="H64" s="17">
        <v>45966</v>
      </c>
      <c r="I64" s="35" t="s">
        <v>114</v>
      </c>
      <c r="J64" s="38" t="s">
        <v>55</v>
      </c>
      <c r="K64" s="18">
        <v>23</v>
      </c>
      <c r="L64" s="42">
        <v>2219.7199999999998</v>
      </c>
      <c r="M64" s="42">
        <v>6.36</v>
      </c>
      <c r="N64" s="42">
        <v>2226.3200000000002</v>
      </c>
      <c r="O64" s="20">
        <f t="shared" si="0"/>
        <v>6.6000000000003638</v>
      </c>
      <c r="P64" s="42">
        <v>1</v>
      </c>
    </row>
    <row r="65" spans="1:16" x14ac:dyDescent="0.35">
      <c r="A65" s="50" t="str">
        <f>'[1]Experiment Index'!E$8</f>
        <v>MORE_N.desiccata_Oct2025_Dens2</v>
      </c>
      <c r="B65" s="27" t="s">
        <v>137</v>
      </c>
      <c r="C65" s="17">
        <v>45948</v>
      </c>
      <c r="D65" s="20">
        <v>7.875</v>
      </c>
      <c r="E65" s="27" t="s">
        <v>84</v>
      </c>
      <c r="F65" s="1" t="s">
        <v>25</v>
      </c>
      <c r="G65" s="28" t="s">
        <v>78</v>
      </c>
      <c r="H65" s="17">
        <v>45966</v>
      </c>
      <c r="I65" s="35" t="s">
        <v>114</v>
      </c>
      <c r="J65" s="38" t="s">
        <v>56</v>
      </c>
      <c r="K65" s="18">
        <v>24</v>
      </c>
      <c r="L65" s="42">
        <v>2258.3200000000002</v>
      </c>
      <c r="M65" s="42">
        <v>5</v>
      </c>
      <c r="N65" s="42">
        <v>2263.5700000000002</v>
      </c>
      <c r="O65" s="20">
        <f t="shared" si="0"/>
        <v>5.25</v>
      </c>
      <c r="P65" s="42">
        <v>1</v>
      </c>
    </row>
    <row r="66" spans="1:16" x14ac:dyDescent="0.35">
      <c r="A66" s="50" t="str">
        <f>'[1]Experiment Index'!E$8</f>
        <v>MORE_N.desiccata_Oct2025_Dens2</v>
      </c>
      <c r="B66" s="27" t="s">
        <v>138</v>
      </c>
      <c r="C66" s="17">
        <v>45952</v>
      </c>
      <c r="D66" s="20">
        <v>11.916666666664241</v>
      </c>
      <c r="E66" s="27" t="s">
        <v>24</v>
      </c>
      <c r="F66" s="1" t="s">
        <v>25</v>
      </c>
      <c r="G66" s="28" t="s">
        <v>65</v>
      </c>
      <c r="H66" s="17">
        <v>45966</v>
      </c>
      <c r="I66" s="35" t="s">
        <v>114</v>
      </c>
      <c r="J66" s="38" t="s">
        <v>57</v>
      </c>
      <c r="K66" s="18">
        <v>25</v>
      </c>
      <c r="L66" s="42">
        <v>2212.41</v>
      </c>
      <c r="M66" s="42">
        <v>7.84</v>
      </c>
      <c r="N66" s="42">
        <v>2220.6</v>
      </c>
      <c r="O66" s="20">
        <f t="shared" si="0"/>
        <v>8.1900000000000546</v>
      </c>
      <c r="P66" s="42">
        <v>1</v>
      </c>
    </row>
    <row r="67" spans="1:16" x14ac:dyDescent="0.35">
      <c r="A67" s="50" t="str">
        <f>'[1]Experiment Index'!E$8</f>
        <v>MORE_N.desiccata_Oct2025_Dens2</v>
      </c>
      <c r="B67" s="27" t="s">
        <v>139</v>
      </c>
      <c r="C67" s="17">
        <v>45952</v>
      </c>
      <c r="D67" s="20">
        <v>11.916666666664241</v>
      </c>
      <c r="E67" s="27" t="s">
        <v>27</v>
      </c>
      <c r="F67" s="1" t="s">
        <v>25</v>
      </c>
      <c r="G67" s="28" t="s">
        <v>65</v>
      </c>
      <c r="H67" s="17">
        <v>45966</v>
      </c>
      <c r="I67" s="35" t="s">
        <v>114</v>
      </c>
      <c r="J67" s="38" t="s">
        <v>58</v>
      </c>
      <c r="K67" s="18">
        <v>26</v>
      </c>
      <c r="L67" s="42">
        <v>2241.56</v>
      </c>
      <c r="M67" s="42">
        <v>9.7799999999999994</v>
      </c>
      <c r="N67" s="42">
        <v>2251.7199999999998</v>
      </c>
      <c r="O67" s="20">
        <f t="shared" si="0"/>
        <v>10.159999999999854</v>
      </c>
      <c r="P67" s="42">
        <v>1</v>
      </c>
    </row>
    <row r="68" spans="1:16" x14ac:dyDescent="0.35">
      <c r="A68" s="50" t="str">
        <f>'[1]Experiment Index'!E$8</f>
        <v>MORE_N.desiccata_Oct2025_Dens2</v>
      </c>
      <c r="B68" s="27" t="s">
        <v>140</v>
      </c>
      <c r="C68" s="17">
        <v>45952</v>
      </c>
      <c r="D68" s="20">
        <v>11.916666666664241</v>
      </c>
      <c r="E68" s="27" t="s">
        <v>29</v>
      </c>
      <c r="F68" s="1" t="s">
        <v>25</v>
      </c>
      <c r="G68" s="28" t="s">
        <v>65</v>
      </c>
      <c r="H68" s="17">
        <v>45966</v>
      </c>
      <c r="I68" s="35" t="s">
        <v>114</v>
      </c>
      <c r="J68" s="38" t="s">
        <v>59</v>
      </c>
      <c r="K68" s="18">
        <v>27</v>
      </c>
      <c r="L68" s="42">
        <v>2213.66</v>
      </c>
      <c r="M68" s="42">
        <v>5.69</v>
      </c>
      <c r="N68" s="42">
        <v>2219.6</v>
      </c>
      <c r="O68" s="20">
        <f t="shared" si="0"/>
        <v>5.9400000000000546</v>
      </c>
      <c r="P68" s="42">
        <v>1</v>
      </c>
    </row>
    <row r="69" spans="1:16" x14ac:dyDescent="0.35">
      <c r="A69" s="50" t="str">
        <f>'[1]Experiment Index'!E$8</f>
        <v>MORE_N.desiccata_Oct2025_Dens2</v>
      </c>
      <c r="B69" s="27" t="s">
        <v>141</v>
      </c>
      <c r="C69" s="17">
        <v>45952</v>
      </c>
      <c r="D69" s="20">
        <v>11.916666666664241</v>
      </c>
      <c r="E69" s="27" t="s">
        <v>50</v>
      </c>
      <c r="F69" s="1" t="s">
        <v>25</v>
      </c>
      <c r="G69" s="28" t="s">
        <v>65</v>
      </c>
      <c r="H69" s="17">
        <v>45966</v>
      </c>
      <c r="I69" s="35" t="s">
        <v>114</v>
      </c>
      <c r="J69" s="38" t="s">
        <v>60</v>
      </c>
      <c r="K69" s="18">
        <v>28</v>
      </c>
      <c r="L69" s="42">
        <v>2225.25</v>
      </c>
      <c r="M69" s="42">
        <v>8.06</v>
      </c>
      <c r="N69" s="42">
        <v>2233.63</v>
      </c>
      <c r="O69" s="20">
        <f t="shared" si="0"/>
        <v>8.3800000000001091</v>
      </c>
      <c r="P69" s="42">
        <v>1</v>
      </c>
    </row>
    <row r="70" spans="1:16" x14ac:dyDescent="0.35">
      <c r="A70" s="50" t="str">
        <f>'[1]Experiment Index'!E$8</f>
        <v>MORE_N.desiccata_Oct2025_Dens2</v>
      </c>
      <c r="B70" s="27" t="s">
        <v>142</v>
      </c>
      <c r="C70" s="17">
        <v>45952</v>
      </c>
      <c r="D70" s="20">
        <v>11.916666666664241</v>
      </c>
      <c r="E70" s="27" t="s">
        <v>33</v>
      </c>
      <c r="F70" s="1" t="s">
        <v>25</v>
      </c>
      <c r="G70" s="28" t="s">
        <v>66</v>
      </c>
      <c r="H70" s="17">
        <v>45966</v>
      </c>
      <c r="I70" s="35" t="s">
        <v>114</v>
      </c>
      <c r="J70" s="38" t="s">
        <v>61</v>
      </c>
      <c r="K70" s="18">
        <v>29</v>
      </c>
      <c r="L70" s="42">
        <v>2227.79</v>
      </c>
      <c r="M70" s="42">
        <v>5.41</v>
      </c>
      <c r="N70" s="42">
        <v>2233.4499999999998</v>
      </c>
      <c r="O70" s="20">
        <f t="shared" si="0"/>
        <v>5.6599999999998545</v>
      </c>
      <c r="P70" s="42">
        <v>1</v>
      </c>
    </row>
    <row r="71" spans="1:16" x14ac:dyDescent="0.35">
      <c r="A71" s="50" t="str">
        <f>'[1]Experiment Index'!E$8</f>
        <v>MORE_N.desiccata_Oct2025_Dens2</v>
      </c>
      <c r="B71" s="27" t="s">
        <v>143</v>
      </c>
      <c r="C71" s="17">
        <v>45952</v>
      </c>
      <c r="D71" s="20">
        <v>11.916666666664241</v>
      </c>
      <c r="E71" s="27" t="s">
        <v>31</v>
      </c>
      <c r="F71" s="1" t="s">
        <v>25</v>
      </c>
      <c r="G71" s="28" t="s">
        <v>66</v>
      </c>
      <c r="H71" s="17">
        <v>45966</v>
      </c>
      <c r="I71" s="35" t="s">
        <v>114</v>
      </c>
      <c r="J71" s="38" t="s">
        <v>62</v>
      </c>
      <c r="K71" s="18">
        <v>30</v>
      </c>
      <c r="L71" s="42">
        <v>2211.4299999999998</v>
      </c>
      <c r="M71" s="42">
        <v>5.45</v>
      </c>
      <c r="N71" s="42">
        <v>2217.12</v>
      </c>
      <c r="O71" s="20">
        <f t="shared" si="0"/>
        <v>5.6900000000000546</v>
      </c>
      <c r="P71" s="42">
        <v>1</v>
      </c>
    </row>
    <row r="72" spans="1:16" x14ac:dyDescent="0.35">
      <c r="A72" s="50" t="str">
        <f>'[1]Experiment Index'!E$8</f>
        <v>MORE_N.desiccata_Oct2025_Dens2</v>
      </c>
      <c r="B72" s="27" t="s">
        <v>144</v>
      </c>
      <c r="C72" s="17">
        <v>45952</v>
      </c>
      <c r="D72" s="20">
        <v>11.916666666664241</v>
      </c>
      <c r="E72" s="27" t="s">
        <v>48</v>
      </c>
      <c r="F72" s="1" t="s">
        <v>25</v>
      </c>
      <c r="G72" s="28" t="s">
        <v>66</v>
      </c>
      <c r="H72" s="17">
        <v>45966</v>
      </c>
      <c r="I72" s="35" t="s">
        <v>114</v>
      </c>
      <c r="J72" s="38" t="s">
        <v>63</v>
      </c>
      <c r="K72" s="18">
        <v>31</v>
      </c>
      <c r="L72" s="42">
        <v>2241.4699999999998</v>
      </c>
      <c r="M72" s="42">
        <v>8.58</v>
      </c>
      <c r="N72" s="42">
        <v>2250.34</v>
      </c>
      <c r="O72" s="20">
        <f t="shared" si="0"/>
        <v>8.8700000000003456</v>
      </c>
      <c r="P72" s="42">
        <v>1</v>
      </c>
    </row>
    <row r="73" spans="1:16" x14ac:dyDescent="0.35">
      <c r="A73" s="50" t="str">
        <f>'[1]Experiment Index'!E$8</f>
        <v>MORE_N.desiccata_Oct2025_Dens2</v>
      </c>
      <c r="B73" s="27" t="s">
        <v>145</v>
      </c>
      <c r="C73" s="17">
        <v>45952</v>
      </c>
      <c r="D73" s="20">
        <v>11.916666666664241</v>
      </c>
      <c r="E73" s="27" t="s">
        <v>51</v>
      </c>
      <c r="F73" s="1" t="s">
        <v>25</v>
      </c>
      <c r="G73" s="28" t="s">
        <v>66</v>
      </c>
      <c r="H73" s="17">
        <v>45966</v>
      </c>
      <c r="I73" s="35" t="s">
        <v>114</v>
      </c>
      <c r="J73" s="38" t="s">
        <v>64</v>
      </c>
      <c r="K73" s="18">
        <v>32</v>
      </c>
      <c r="L73" s="42">
        <v>2205.71</v>
      </c>
      <c r="M73" s="42">
        <v>6.85</v>
      </c>
      <c r="N73" s="42">
        <v>2212.89</v>
      </c>
      <c r="O73" s="20">
        <f t="shared" si="0"/>
        <v>7.1799999999998363</v>
      </c>
      <c r="P73" s="42">
        <v>1</v>
      </c>
    </row>
    <row r="74" spans="1:16" x14ac:dyDescent="0.35">
      <c r="A74" s="50" t="str">
        <f>'[1]Experiment Index'!E$8</f>
        <v>MORE_N.desiccata_Oct2025_Dens2</v>
      </c>
      <c r="B74" s="27" t="s">
        <v>146</v>
      </c>
      <c r="C74" s="17">
        <v>45952</v>
      </c>
      <c r="D74" s="20">
        <v>11.916666666664241</v>
      </c>
      <c r="E74" s="27" t="s">
        <v>77</v>
      </c>
      <c r="F74" s="1" t="s">
        <v>25</v>
      </c>
      <c r="G74" s="28" t="s">
        <v>78</v>
      </c>
      <c r="H74" s="17">
        <v>45966</v>
      </c>
      <c r="I74" s="35" t="s">
        <v>114</v>
      </c>
      <c r="J74" s="38" t="s">
        <v>106</v>
      </c>
      <c r="K74" s="18">
        <v>33</v>
      </c>
      <c r="L74" s="42">
        <v>2216.4699999999998</v>
      </c>
      <c r="M74" s="42">
        <v>7.95</v>
      </c>
      <c r="N74" s="42">
        <v>2224.7199999999998</v>
      </c>
      <c r="O74" s="20">
        <f t="shared" si="0"/>
        <v>8.25</v>
      </c>
      <c r="P74" s="42">
        <v>1</v>
      </c>
    </row>
    <row r="75" spans="1:16" x14ac:dyDescent="0.35">
      <c r="A75" s="50" t="str">
        <f>'[1]Experiment Index'!E$8</f>
        <v>MORE_N.desiccata_Oct2025_Dens2</v>
      </c>
      <c r="B75" s="27" t="s">
        <v>147</v>
      </c>
      <c r="C75" s="17">
        <v>45952</v>
      </c>
      <c r="D75" s="20">
        <v>11.916666666664241</v>
      </c>
      <c r="E75" s="27" t="s">
        <v>80</v>
      </c>
      <c r="F75" s="1" t="s">
        <v>25</v>
      </c>
      <c r="G75" s="28" t="s">
        <v>78</v>
      </c>
      <c r="H75" s="17">
        <v>45966</v>
      </c>
      <c r="I75" s="35" t="s">
        <v>114</v>
      </c>
      <c r="J75" s="38" t="s">
        <v>108</v>
      </c>
      <c r="K75" s="18">
        <v>34</v>
      </c>
      <c r="L75" s="42">
        <v>2211.44</v>
      </c>
      <c r="M75" s="42">
        <v>6.66</v>
      </c>
      <c r="N75" s="42">
        <v>2218.4</v>
      </c>
      <c r="O75" s="20">
        <f t="shared" si="0"/>
        <v>6.9600000000000364</v>
      </c>
      <c r="P75" s="42">
        <v>1</v>
      </c>
    </row>
    <row r="76" spans="1:16" x14ac:dyDescent="0.35">
      <c r="A76" s="50" t="str">
        <f>'[1]Experiment Index'!E$8</f>
        <v>MORE_N.desiccata_Oct2025_Dens2</v>
      </c>
      <c r="B76" s="27" t="s">
        <v>148</v>
      </c>
      <c r="C76" s="17">
        <v>45952</v>
      </c>
      <c r="D76" s="20">
        <v>11.916666666664241</v>
      </c>
      <c r="E76" s="27" t="s">
        <v>84</v>
      </c>
      <c r="F76" s="1" t="s">
        <v>25</v>
      </c>
      <c r="G76" s="28" t="s">
        <v>78</v>
      </c>
      <c r="H76" s="17">
        <v>45966</v>
      </c>
      <c r="I76" s="35" t="s">
        <v>114</v>
      </c>
      <c r="J76" s="38" t="s">
        <v>112</v>
      </c>
      <c r="K76" s="18">
        <v>36</v>
      </c>
      <c r="L76" s="42">
        <v>2214.4</v>
      </c>
      <c r="M76" s="42">
        <v>5.96</v>
      </c>
      <c r="N76" s="42">
        <v>2220.66</v>
      </c>
      <c r="O76" s="20">
        <f t="shared" si="0"/>
        <v>6.2599999999997635</v>
      </c>
      <c r="P76" s="42">
        <v>1</v>
      </c>
    </row>
    <row r="77" spans="1:16" x14ac:dyDescent="0.35">
      <c r="A77" s="50" t="str">
        <f>'[1]Experiment Index'!E$8</f>
        <v>MORE_N.desiccata_Oct2025_Dens2</v>
      </c>
      <c r="B77" s="28" t="s">
        <v>22</v>
      </c>
      <c r="C77" s="7" t="s">
        <v>19</v>
      </c>
      <c r="D77" s="8" t="s">
        <v>19</v>
      </c>
      <c r="E77" s="27" t="s">
        <v>19</v>
      </c>
      <c r="F77" s="1" t="s">
        <v>20</v>
      </c>
      <c r="G77" s="28" t="s">
        <v>21</v>
      </c>
      <c r="H77" s="17">
        <v>45966</v>
      </c>
      <c r="I77" s="35" t="s">
        <v>114</v>
      </c>
      <c r="J77" s="38" t="s">
        <v>22</v>
      </c>
      <c r="K77" s="9" t="s">
        <v>22</v>
      </c>
      <c r="L77" s="42">
        <v>2221.85</v>
      </c>
      <c r="M77" s="42">
        <v>8.08</v>
      </c>
      <c r="N77" s="42">
        <v>2229.67</v>
      </c>
      <c r="O77" s="10">
        <f t="shared" si="0"/>
        <v>7.8200000000001637</v>
      </c>
      <c r="P77" s="45">
        <v>1</v>
      </c>
    </row>
    <row r="78" spans="1:16" x14ac:dyDescent="0.35">
      <c r="A78" s="51" t="str">
        <f>'[1]Experiment Index'!E$8</f>
        <v>MORE_N.desiccata_Oct2025_Dens2</v>
      </c>
      <c r="B78" s="29" t="s">
        <v>23</v>
      </c>
      <c r="C78" s="12" t="s">
        <v>19</v>
      </c>
      <c r="D78" s="13" t="s">
        <v>19</v>
      </c>
      <c r="E78" s="32" t="s">
        <v>19</v>
      </c>
      <c r="F78" s="14" t="s">
        <v>20</v>
      </c>
      <c r="G78" s="29" t="s">
        <v>21</v>
      </c>
      <c r="H78" s="21">
        <v>45966</v>
      </c>
      <c r="I78" s="39" t="s">
        <v>114</v>
      </c>
      <c r="J78" s="40" t="s">
        <v>23</v>
      </c>
      <c r="K78" s="15" t="s">
        <v>23</v>
      </c>
      <c r="L78" s="43">
        <v>2221.9699999999998</v>
      </c>
      <c r="M78" s="43">
        <v>6.7</v>
      </c>
      <c r="N78" s="43">
        <v>2228.6</v>
      </c>
      <c r="O78" s="16">
        <f t="shared" si="0"/>
        <v>6.6300000000001091</v>
      </c>
      <c r="P78" s="47">
        <v>1</v>
      </c>
    </row>
    <row r="79" spans="1:16" x14ac:dyDescent="0.35">
      <c r="A79" s="50" t="str">
        <f>'[1]Experiment Index'!E$9</f>
        <v>MORE_N.desiccata_Nov2025_Dens3</v>
      </c>
      <c r="B79" s="27" t="s">
        <v>149</v>
      </c>
      <c r="C79" s="17">
        <v>45964</v>
      </c>
      <c r="D79" s="20">
        <v>3.8541666666715173</v>
      </c>
      <c r="E79" s="27" t="s">
        <v>50</v>
      </c>
      <c r="F79" s="1" t="s">
        <v>25</v>
      </c>
      <c r="G79" s="28" t="s">
        <v>65</v>
      </c>
      <c r="H79" s="17">
        <v>45987</v>
      </c>
      <c r="I79" s="35" t="s">
        <v>150</v>
      </c>
      <c r="J79" s="38" t="s">
        <v>26</v>
      </c>
      <c r="K79" s="18">
        <v>1</v>
      </c>
      <c r="L79" s="42">
        <v>2223.59</v>
      </c>
      <c r="M79" s="42">
        <v>6.68</v>
      </c>
      <c r="N79" s="42">
        <v>2230.1999999999998</v>
      </c>
      <c r="O79" s="20">
        <f t="shared" si="0"/>
        <v>6.6099999999996726</v>
      </c>
      <c r="P79" s="48">
        <v>1</v>
      </c>
    </row>
    <row r="80" spans="1:16" x14ac:dyDescent="0.35">
      <c r="A80" s="50" t="str">
        <f>'[1]Experiment Index'!E$9</f>
        <v>MORE_N.desiccata_Nov2025_Dens3</v>
      </c>
      <c r="B80" s="27" t="s">
        <v>151</v>
      </c>
      <c r="C80" s="17">
        <v>45964</v>
      </c>
      <c r="D80" s="20">
        <v>3.8541666666715173</v>
      </c>
      <c r="E80" s="27" t="s">
        <v>27</v>
      </c>
      <c r="F80" s="1" t="s">
        <v>25</v>
      </c>
      <c r="G80" s="28" t="s">
        <v>65</v>
      </c>
      <c r="H80" s="17">
        <v>45987</v>
      </c>
      <c r="I80" s="35" t="s">
        <v>150</v>
      </c>
      <c r="J80" s="38" t="s">
        <v>28</v>
      </c>
      <c r="K80" s="18">
        <v>2</v>
      </c>
      <c r="L80" s="42">
        <v>2228.31</v>
      </c>
      <c r="M80" s="42">
        <v>6.26</v>
      </c>
      <c r="N80" s="42">
        <v>2234.46</v>
      </c>
      <c r="O80" s="20">
        <f t="shared" si="0"/>
        <v>6.1500000000000909</v>
      </c>
      <c r="P80" s="42">
        <v>1</v>
      </c>
    </row>
    <row r="81" spans="1:16" x14ac:dyDescent="0.35">
      <c r="A81" s="50" t="str">
        <f>'[1]Experiment Index'!E$9</f>
        <v>MORE_N.desiccata_Nov2025_Dens3</v>
      </c>
      <c r="B81" s="27" t="s">
        <v>152</v>
      </c>
      <c r="C81" s="17">
        <v>45964</v>
      </c>
      <c r="D81" s="20">
        <v>3.8541666666715173</v>
      </c>
      <c r="E81" s="27" t="s">
        <v>29</v>
      </c>
      <c r="F81" s="1" t="s">
        <v>25</v>
      </c>
      <c r="G81" s="28" t="s">
        <v>65</v>
      </c>
      <c r="H81" s="17">
        <v>45987</v>
      </c>
      <c r="I81" s="35" t="s">
        <v>150</v>
      </c>
      <c r="J81" s="38" t="s">
        <v>30</v>
      </c>
      <c r="K81" s="18">
        <v>3</v>
      </c>
      <c r="L81" s="42">
        <v>2224.91</v>
      </c>
      <c r="M81" s="42">
        <v>6.95</v>
      </c>
      <c r="N81" s="42">
        <v>2231.84</v>
      </c>
      <c r="O81" s="20">
        <f t="shared" si="0"/>
        <v>6.930000000000291</v>
      </c>
      <c r="P81" s="42">
        <v>1</v>
      </c>
    </row>
    <row r="82" spans="1:16" x14ac:dyDescent="0.35">
      <c r="A82" s="50" t="str">
        <f>'[1]Experiment Index'!E$9</f>
        <v>MORE_N.desiccata_Nov2025_Dens3</v>
      </c>
      <c r="B82" s="27" t="s">
        <v>153</v>
      </c>
      <c r="C82" s="17">
        <v>45964</v>
      </c>
      <c r="D82" s="20">
        <v>3.8541666666715173</v>
      </c>
      <c r="E82" s="27" t="s">
        <v>24</v>
      </c>
      <c r="F82" s="1" t="s">
        <v>25</v>
      </c>
      <c r="G82" s="28" t="s">
        <v>65</v>
      </c>
      <c r="H82" s="17">
        <v>45987</v>
      </c>
      <c r="I82" s="35" t="s">
        <v>150</v>
      </c>
      <c r="J82" s="38" t="s">
        <v>32</v>
      </c>
      <c r="K82" s="18">
        <v>4</v>
      </c>
      <c r="L82" s="42">
        <v>2238.0300000000002</v>
      </c>
      <c r="M82" s="42">
        <v>5.72</v>
      </c>
      <c r="N82" s="42">
        <v>2243.7800000000002</v>
      </c>
      <c r="O82" s="20">
        <f t="shared" si="0"/>
        <v>5.75</v>
      </c>
      <c r="P82" s="42">
        <v>1</v>
      </c>
    </row>
    <row r="83" spans="1:16" x14ac:dyDescent="0.35">
      <c r="A83" s="50" t="str">
        <f>'[1]Experiment Index'!E$9</f>
        <v>MORE_N.desiccata_Nov2025_Dens3</v>
      </c>
      <c r="B83" s="27" t="s">
        <v>154</v>
      </c>
      <c r="C83" s="17">
        <v>45964</v>
      </c>
      <c r="D83" s="20">
        <v>3.8541666666715173</v>
      </c>
      <c r="E83" s="27" t="s">
        <v>33</v>
      </c>
      <c r="F83" s="1" t="s">
        <v>25</v>
      </c>
      <c r="G83" s="28" t="s">
        <v>66</v>
      </c>
      <c r="H83" s="17">
        <v>45987</v>
      </c>
      <c r="I83" s="35" t="s">
        <v>150</v>
      </c>
      <c r="J83" s="38" t="s">
        <v>34</v>
      </c>
      <c r="K83" s="18">
        <v>5</v>
      </c>
      <c r="L83" s="42">
        <v>2211.14</v>
      </c>
      <c r="M83" s="42">
        <v>6.03</v>
      </c>
      <c r="N83" s="42">
        <v>2217.2600000000002</v>
      </c>
      <c r="O83" s="20">
        <f t="shared" si="0"/>
        <v>6.1200000000003456</v>
      </c>
      <c r="P83" s="42">
        <v>1</v>
      </c>
    </row>
    <row r="84" spans="1:16" x14ac:dyDescent="0.35">
      <c r="A84" s="50" t="str">
        <f>'[1]Experiment Index'!E$9</f>
        <v>MORE_N.desiccata_Nov2025_Dens3</v>
      </c>
      <c r="B84" s="27" t="s">
        <v>155</v>
      </c>
      <c r="C84" s="17">
        <v>45964</v>
      </c>
      <c r="D84" s="20">
        <v>3.8541666666715173</v>
      </c>
      <c r="E84" s="27" t="s">
        <v>31</v>
      </c>
      <c r="F84" s="1" t="s">
        <v>25</v>
      </c>
      <c r="G84" s="28" t="s">
        <v>66</v>
      </c>
      <c r="H84" s="17">
        <v>45987</v>
      </c>
      <c r="I84" s="35" t="s">
        <v>150</v>
      </c>
      <c r="J84" s="38" t="s">
        <v>35</v>
      </c>
      <c r="K84" s="18">
        <v>6</v>
      </c>
      <c r="L84" s="42">
        <v>2213.9</v>
      </c>
      <c r="M84" s="42">
        <v>6.69</v>
      </c>
      <c r="N84" s="42">
        <v>2220.61</v>
      </c>
      <c r="O84" s="20">
        <f t="shared" si="0"/>
        <v>6.7100000000000364</v>
      </c>
      <c r="P84" s="42">
        <v>1</v>
      </c>
    </row>
    <row r="85" spans="1:16" x14ac:dyDescent="0.35">
      <c r="A85" s="50" t="str">
        <f>'[1]Experiment Index'!E$9</f>
        <v>MORE_N.desiccata_Nov2025_Dens3</v>
      </c>
      <c r="B85" s="27" t="s">
        <v>156</v>
      </c>
      <c r="C85" s="17">
        <v>45964</v>
      </c>
      <c r="D85" s="20">
        <v>3.8541666666715173</v>
      </c>
      <c r="E85" s="27" t="s">
        <v>48</v>
      </c>
      <c r="F85" s="1" t="s">
        <v>25</v>
      </c>
      <c r="G85" s="28" t="s">
        <v>66</v>
      </c>
      <c r="H85" s="17">
        <v>45987</v>
      </c>
      <c r="I85" s="35" t="s">
        <v>150</v>
      </c>
      <c r="J85" s="38" t="s">
        <v>36</v>
      </c>
      <c r="K85" s="18">
        <v>7</v>
      </c>
      <c r="L85" s="42">
        <v>2206.98</v>
      </c>
      <c r="M85" s="42">
        <v>6.06</v>
      </c>
      <c r="N85" s="42">
        <v>2213.06</v>
      </c>
      <c r="O85" s="20">
        <f t="shared" si="0"/>
        <v>6.0799999999999272</v>
      </c>
      <c r="P85" s="42">
        <v>1</v>
      </c>
    </row>
    <row r="86" spans="1:16" x14ac:dyDescent="0.35">
      <c r="A86" s="50" t="str">
        <f>'[1]Experiment Index'!E$9</f>
        <v>MORE_N.desiccata_Nov2025_Dens3</v>
      </c>
      <c r="B86" s="27" t="s">
        <v>157</v>
      </c>
      <c r="C86" s="17">
        <v>45964</v>
      </c>
      <c r="D86" s="20">
        <v>3.8541666666715173</v>
      </c>
      <c r="E86" s="27" t="s">
        <v>51</v>
      </c>
      <c r="F86" s="1" t="s">
        <v>25</v>
      </c>
      <c r="G86" s="28" t="s">
        <v>66</v>
      </c>
      <c r="H86" s="17">
        <v>45987</v>
      </c>
      <c r="I86" s="35" t="s">
        <v>150</v>
      </c>
      <c r="J86" s="38" t="s">
        <v>37</v>
      </c>
      <c r="K86" s="18">
        <v>8</v>
      </c>
      <c r="L86" s="42">
        <v>2239.67</v>
      </c>
      <c r="M86" s="42">
        <v>6.61</v>
      </c>
      <c r="N86" s="42">
        <v>2246.3200000000002</v>
      </c>
      <c r="O86" s="20">
        <f t="shared" si="0"/>
        <v>6.6500000000000909</v>
      </c>
      <c r="P86" s="42">
        <v>1</v>
      </c>
    </row>
    <row r="87" spans="1:16" x14ac:dyDescent="0.35">
      <c r="A87" s="50" t="str">
        <f>'[1]Experiment Index'!E$9</f>
        <v>MORE_N.desiccata_Nov2025_Dens3</v>
      </c>
      <c r="B87" s="27" t="s">
        <v>158</v>
      </c>
      <c r="C87" s="17">
        <v>45964</v>
      </c>
      <c r="D87" s="20">
        <v>3.8541666666715173</v>
      </c>
      <c r="E87" s="27" t="s">
        <v>77</v>
      </c>
      <c r="F87" s="1" t="s">
        <v>25</v>
      </c>
      <c r="G87" s="28" t="s">
        <v>78</v>
      </c>
      <c r="H87" s="17">
        <v>45987</v>
      </c>
      <c r="I87" s="35" t="s">
        <v>150</v>
      </c>
      <c r="J87" s="38" t="s">
        <v>38</v>
      </c>
      <c r="K87" s="18">
        <v>9</v>
      </c>
      <c r="L87" s="42">
        <v>2235.35</v>
      </c>
      <c r="M87" s="42">
        <v>7.67</v>
      </c>
      <c r="N87" s="42">
        <v>2243.0100000000002</v>
      </c>
      <c r="O87" s="20">
        <f t="shared" si="0"/>
        <v>7.6600000000003092</v>
      </c>
      <c r="P87" s="42">
        <v>1</v>
      </c>
    </row>
    <row r="88" spans="1:16" x14ac:dyDescent="0.35">
      <c r="A88" s="50" t="str">
        <f>'[1]Experiment Index'!E$9</f>
        <v>MORE_N.desiccata_Nov2025_Dens3</v>
      </c>
      <c r="B88" s="27" t="s">
        <v>159</v>
      </c>
      <c r="C88" s="17">
        <v>45964</v>
      </c>
      <c r="D88" s="20">
        <v>3.8541666666715173</v>
      </c>
      <c r="E88" s="27" t="s">
        <v>80</v>
      </c>
      <c r="F88" s="1" t="s">
        <v>25</v>
      </c>
      <c r="G88" s="28" t="s">
        <v>78</v>
      </c>
      <c r="H88" s="17">
        <v>45987</v>
      </c>
      <c r="I88" s="35" t="s">
        <v>150</v>
      </c>
      <c r="J88" s="38" t="s">
        <v>39</v>
      </c>
      <c r="K88" s="18">
        <v>10</v>
      </c>
      <c r="L88" s="42">
        <v>2223.75</v>
      </c>
      <c r="M88" s="42">
        <v>6.3</v>
      </c>
      <c r="N88" s="42">
        <v>2230.1</v>
      </c>
      <c r="O88" s="20">
        <f t="shared" si="0"/>
        <v>6.3499999999999091</v>
      </c>
      <c r="P88" s="42">
        <v>1</v>
      </c>
    </row>
    <row r="89" spans="1:16" x14ac:dyDescent="0.35">
      <c r="A89" s="50" t="str">
        <f>'[1]Experiment Index'!E$9</f>
        <v>MORE_N.desiccata_Nov2025_Dens3</v>
      </c>
      <c r="B89" s="27" t="s">
        <v>160</v>
      </c>
      <c r="C89" s="17">
        <v>45964</v>
      </c>
      <c r="D89" s="20">
        <v>3.8541666666715173</v>
      </c>
      <c r="E89" s="27" t="s">
        <v>82</v>
      </c>
      <c r="F89" s="1" t="s">
        <v>25</v>
      </c>
      <c r="G89" s="28" t="s">
        <v>78</v>
      </c>
      <c r="H89" s="17">
        <v>45987</v>
      </c>
      <c r="I89" s="35" t="s">
        <v>150</v>
      </c>
      <c r="J89" s="38" t="s">
        <v>40</v>
      </c>
      <c r="K89" s="18">
        <v>11</v>
      </c>
      <c r="L89" s="42">
        <v>2207.25</v>
      </c>
      <c r="M89" s="42">
        <v>6.95</v>
      </c>
      <c r="N89" s="42">
        <v>2214.25</v>
      </c>
      <c r="O89" s="20">
        <f t="shared" si="0"/>
        <v>7</v>
      </c>
      <c r="P89" s="42">
        <v>1</v>
      </c>
    </row>
    <row r="90" spans="1:16" x14ac:dyDescent="0.35">
      <c r="A90" s="50" t="str">
        <f>'[1]Experiment Index'!E$9</f>
        <v>MORE_N.desiccata_Nov2025_Dens3</v>
      </c>
      <c r="B90" s="27" t="s">
        <v>161</v>
      </c>
      <c r="C90" s="17">
        <v>45964</v>
      </c>
      <c r="D90" s="20">
        <v>3.8541666666715173</v>
      </c>
      <c r="E90" s="27" t="s">
        <v>84</v>
      </c>
      <c r="F90" s="1" t="s">
        <v>25</v>
      </c>
      <c r="G90" s="28" t="s">
        <v>78</v>
      </c>
      <c r="H90" s="17">
        <v>45987</v>
      </c>
      <c r="I90" s="35" t="s">
        <v>150</v>
      </c>
      <c r="J90" s="38" t="s">
        <v>41</v>
      </c>
      <c r="K90" s="18">
        <v>12</v>
      </c>
      <c r="L90" s="42">
        <v>2235.34</v>
      </c>
      <c r="M90" s="42">
        <v>5.38</v>
      </c>
      <c r="N90" s="42">
        <v>2240.7199999999998</v>
      </c>
      <c r="O90" s="20">
        <f t="shared" si="0"/>
        <v>5.3799999999996544</v>
      </c>
      <c r="P90" s="42">
        <v>1</v>
      </c>
    </row>
    <row r="91" spans="1:16" x14ac:dyDescent="0.35">
      <c r="A91" s="50" t="str">
        <f>'[1]Experiment Index'!E$9</f>
        <v>MORE_N.desiccata_Nov2025_Dens3</v>
      </c>
      <c r="B91" s="27" t="s">
        <v>162</v>
      </c>
      <c r="C91" s="17">
        <v>45968</v>
      </c>
      <c r="D91" s="20">
        <v>7.8541666666715173</v>
      </c>
      <c r="E91" s="27" t="s">
        <v>24</v>
      </c>
      <c r="F91" s="1" t="s">
        <v>25</v>
      </c>
      <c r="G91" s="28" t="s">
        <v>65</v>
      </c>
      <c r="H91" s="17">
        <v>45987</v>
      </c>
      <c r="I91" s="35" t="s">
        <v>150</v>
      </c>
      <c r="J91" s="38" t="s">
        <v>42</v>
      </c>
      <c r="K91" s="18">
        <v>13</v>
      </c>
      <c r="L91" s="42">
        <v>2220.52</v>
      </c>
      <c r="M91" s="42">
        <v>5.48</v>
      </c>
      <c r="N91" s="42">
        <v>2225.9899999999998</v>
      </c>
      <c r="O91" s="20">
        <f t="shared" si="0"/>
        <v>5.4699999999997999</v>
      </c>
      <c r="P91" s="42">
        <v>1</v>
      </c>
    </row>
    <row r="92" spans="1:16" x14ac:dyDescent="0.35">
      <c r="A92" s="50" t="str">
        <f>'[1]Experiment Index'!E$9</f>
        <v>MORE_N.desiccata_Nov2025_Dens3</v>
      </c>
      <c r="B92" s="27" t="s">
        <v>163</v>
      </c>
      <c r="C92" s="17">
        <v>45968</v>
      </c>
      <c r="D92" s="20">
        <v>7.8541666666715173</v>
      </c>
      <c r="E92" s="27" t="s">
        <v>27</v>
      </c>
      <c r="F92" s="1" t="s">
        <v>25</v>
      </c>
      <c r="G92" s="28" t="s">
        <v>65</v>
      </c>
      <c r="H92" s="17">
        <v>45987</v>
      </c>
      <c r="I92" s="35" t="s">
        <v>150</v>
      </c>
      <c r="J92" s="38" t="s">
        <v>43</v>
      </c>
      <c r="K92" s="18">
        <v>14</v>
      </c>
      <c r="L92" s="42">
        <v>2233.2800000000002</v>
      </c>
      <c r="M92" s="42">
        <v>5.7</v>
      </c>
      <c r="N92" s="42">
        <v>2239.0300000000002</v>
      </c>
      <c r="O92" s="20">
        <f t="shared" si="0"/>
        <v>5.75</v>
      </c>
      <c r="P92" s="42">
        <v>1</v>
      </c>
    </row>
    <row r="93" spans="1:16" x14ac:dyDescent="0.35">
      <c r="A93" s="50" t="str">
        <f>'[1]Experiment Index'!E$9</f>
        <v>MORE_N.desiccata_Nov2025_Dens3</v>
      </c>
      <c r="B93" s="27" t="s">
        <v>164</v>
      </c>
      <c r="C93" s="17">
        <v>45968</v>
      </c>
      <c r="D93" s="20">
        <v>7.8541666666715173</v>
      </c>
      <c r="E93" s="27" t="s">
        <v>29</v>
      </c>
      <c r="F93" s="1" t="s">
        <v>25</v>
      </c>
      <c r="G93" s="28" t="s">
        <v>65</v>
      </c>
      <c r="H93" s="17">
        <v>45987</v>
      </c>
      <c r="I93" s="35" t="s">
        <v>150</v>
      </c>
      <c r="J93" s="38" t="s">
        <v>44</v>
      </c>
      <c r="K93" s="18">
        <v>15</v>
      </c>
      <c r="L93" s="42">
        <v>2233.25</v>
      </c>
      <c r="M93" s="42">
        <v>5.58</v>
      </c>
      <c r="N93" s="42">
        <v>2238.88</v>
      </c>
      <c r="O93" s="20">
        <f t="shared" si="0"/>
        <v>5.6300000000001091</v>
      </c>
      <c r="P93" s="42">
        <v>1</v>
      </c>
    </row>
    <row r="94" spans="1:16" x14ac:dyDescent="0.35">
      <c r="A94" s="50" t="str">
        <f>'[1]Experiment Index'!E$9</f>
        <v>MORE_N.desiccata_Nov2025_Dens3</v>
      </c>
      <c r="B94" s="27" t="s">
        <v>165</v>
      </c>
      <c r="C94" s="17">
        <v>45968</v>
      </c>
      <c r="D94" s="20">
        <v>7.8541666666715173</v>
      </c>
      <c r="E94" s="27" t="s">
        <v>50</v>
      </c>
      <c r="F94" s="1" t="s">
        <v>25</v>
      </c>
      <c r="G94" s="28" t="s">
        <v>65</v>
      </c>
      <c r="H94" s="17">
        <v>45987</v>
      </c>
      <c r="I94" s="35" t="s">
        <v>150</v>
      </c>
      <c r="J94" s="38" t="s">
        <v>45</v>
      </c>
      <c r="K94" s="18">
        <v>16</v>
      </c>
      <c r="L94" s="42">
        <v>2216.67</v>
      </c>
      <c r="M94" s="42">
        <v>6.24</v>
      </c>
      <c r="N94" s="42">
        <v>2223</v>
      </c>
      <c r="O94" s="20">
        <f t="shared" si="0"/>
        <v>6.3299999999999272</v>
      </c>
      <c r="P94" s="42">
        <v>1</v>
      </c>
    </row>
    <row r="95" spans="1:16" x14ac:dyDescent="0.35">
      <c r="A95" s="50" t="str">
        <f>'[1]Experiment Index'!E$9</f>
        <v>MORE_N.desiccata_Nov2025_Dens3</v>
      </c>
      <c r="B95" s="27" t="s">
        <v>166</v>
      </c>
      <c r="C95" s="17">
        <v>45968</v>
      </c>
      <c r="D95" s="20">
        <v>7.8541666666715173</v>
      </c>
      <c r="E95" s="27" t="s">
        <v>33</v>
      </c>
      <c r="F95" s="1" t="s">
        <v>25</v>
      </c>
      <c r="G95" s="28" t="s">
        <v>66</v>
      </c>
      <c r="H95" s="17">
        <v>45987</v>
      </c>
      <c r="I95" s="35" t="s">
        <v>150</v>
      </c>
      <c r="J95" s="38" t="s">
        <v>46</v>
      </c>
      <c r="K95" s="18">
        <v>17</v>
      </c>
      <c r="L95" s="42">
        <v>2220.98</v>
      </c>
      <c r="M95" s="42">
        <v>6.7</v>
      </c>
      <c r="N95" s="42">
        <v>2227.77</v>
      </c>
      <c r="O95" s="20">
        <f t="shared" si="0"/>
        <v>6.7899999999999636</v>
      </c>
      <c r="P95" s="42">
        <v>1</v>
      </c>
    </row>
    <row r="96" spans="1:16" x14ac:dyDescent="0.35">
      <c r="A96" s="50" t="str">
        <f>'[1]Experiment Index'!E$9</f>
        <v>MORE_N.desiccata_Nov2025_Dens3</v>
      </c>
      <c r="B96" s="27" t="s">
        <v>167</v>
      </c>
      <c r="C96" s="17">
        <v>45968</v>
      </c>
      <c r="D96" s="20">
        <v>7.8541666666715173</v>
      </c>
      <c r="E96" s="27" t="s">
        <v>31</v>
      </c>
      <c r="F96" s="1" t="s">
        <v>25</v>
      </c>
      <c r="G96" s="28" t="s">
        <v>66</v>
      </c>
      <c r="H96" s="17">
        <v>45987</v>
      </c>
      <c r="I96" s="35" t="s">
        <v>150</v>
      </c>
      <c r="J96" s="38" t="s">
        <v>47</v>
      </c>
      <c r="K96" s="18">
        <v>18</v>
      </c>
      <c r="L96" s="42">
        <v>2213.79</v>
      </c>
      <c r="M96" s="42">
        <v>7.43</v>
      </c>
      <c r="N96" s="42">
        <v>2221.29</v>
      </c>
      <c r="O96" s="20">
        <f t="shared" si="0"/>
        <v>7.5</v>
      </c>
      <c r="P96" s="42">
        <v>1</v>
      </c>
    </row>
    <row r="97" spans="1:16" x14ac:dyDescent="0.35">
      <c r="A97" s="50" t="str">
        <f>'[1]Experiment Index'!E$9</f>
        <v>MORE_N.desiccata_Nov2025_Dens3</v>
      </c>
      <c r="B97" s="27" t="s">
        <v>168</v>
      </c>
      <c r="C97" s="17">
        <v>45968</v>
      </c>
      <c r="D97" s="20">
        <v>7.8541666666715173</v>
      </c>
      <c r="E97" s="27" t="s">
        <v>48</v>
      </c>
      <c r="F97" s="1" t="s">
        <v>25</v>
      </c>
      <c r="G97" s="28" t="s">
        <v>66</v>
      </c>
      <c r="H97" s="17">
        <v>45987</v>
      </c>
      <c r="I97" s="35" t="s">
        <v>150</v>
      </c>
      <c r="J97" s="38" t="s">
        <v>49</v>
      </c>
      <c r="K97" s="18">
        <v>19</v>
      </c>
      <c r="L97" s="42">
        <v>2228.15</v>
      </c>
      <c r="M97" s="42">
        <v>5.92</v>
      </c>
      <c r="N97" s="42">
        <v>2234.13</v>
      </c>
      <c r="O97" s="20">
        <f t="shared" si="0"/>
        <v>5.9800000000000182</v>
      </c>
      <c r="P97" s="42">
        <v>1</v>
      </c>
    </row>
    <row r="98" spans="1:16" x14ac:dyDescent="0.35">
      <c r="A98" s="50" t="str">
        <f>'[1]Experiment Index'!E$9</f>
        <v>MORE_N.desiccata_Nov2025_Dens3</v>
      </c>
      <c r="B98" s="27" t="s">
        <v>169</v>
      </c>
      <c r="C98" s="17">
        <v>45968</v>
      </c>
      <c r="D98" s="20">
        <v>7.8541666666715173</v>
      </c>
      <c r="E98" s="27" t="s">
        <v>51</v>
      </c>
      <c r="F98" s="1" t="s">
        <v>25</v>
      </c>
      <c r="G98" s="28" t="s">
        <v>66</v>
      </c>
      <c r="H98" s="17">
        <v>45987</v>
      </c>
      <c r="I98" s="35" t="s">
        <v>150</v>
      </c>
      <c r="J98" s="38" t="s">
        <v>52</v>
      </c>
      <c r="K98" s="18">
        <v>20</v>
      </c>
      <c r="L98" s="42">
        <v>2228.5300000000002</v>
      </c>
      <c r="M98" s="42">
        <v>6.85</v>
      </c>
      <c r="N98" s="42">
        <v>2235.54</v>
      </c>
      <c r="O98" s="20">
        <f t="shared" si="0"/>
        <v>7.0099999999997635</v>
      </c>
      <c r="P98" s="42">
        <v>1</v>
      </c>
    </row>
    <row r="99" spans="1:16" x14ac:dyDescent="0.35">
      <c r="A99" s="50" t="str">
        <f>'[1]Experiment Index'!E$9</f>
        <v>MORE_N.desiccata_Nov2025_Dens3</v>
      </c>
      <c r="B99" s="27" t="s">
        <v>170</v>
      </c>
      <c r="C99" s="17">
        <v>45968</v>
      </c>
      <c r="D99" s="20">
        <v>7.8541666666715173</v>
      </c>
      <c r="E99" s="27" t="s">
        <v>77</v>
      </c>
      <c r="F99" s="1" t="s">
        <v>25</v>
      </c>
      <c r="G99" s="28" t="s">
        <v>78</v>
      </c>
      <c r="H99" s="17">
        <v>45987</v>
      </c>
      <c r="I99" s="35" t="s">
        <v>150</v>
      </c>
      <c r="J99" s="38" t="s">
        <v>53</v>
      </c>
      <c r="K99" s="18">
        <v>21</v>
      </c>
      <c r="L99" s="42">
        <v>2231.02</v>
      </c>
      <c r="M99" s="42">
        <v>6.94</v>
      </c>
      <c r="N99" s="42">
        <v>2238.08</v>
      </c>
      <c r="O99" s="20">
        <f t="shared" si="0"/>
        <v>7.0599999999999454</v>
      </c>
      <c r="P99" s="42">
        <v>1</v>
      </c>
    </row>
    <row r="100" spans="1:16" x14ac:dyDescent="0.35">
      <c r="A100" s="50" t="str">
        <f>'[1]Experiment Index'!E$9</f>
        <v>MORE_N.desiccata_Nov2025_Dens3</v>
      </c>
      <c r="B100" s="27" t="s">
        <v>171</v>
      </c>
      <c r="C100" s="17">
        <v>45968</v>
      </c>
      <c r="D100" s="20">
        <v>7.8541666666715173</v>
      </c>
      <c r="E100" s="27" t="s">
        <v>80</v>
      </c>
      <c r="F100" s="1" t="s">
        <v>25</v>
      </c>
      <c r="G100" s="28" t="s">
        <v>78</v>
      </c>
      <c r="H100" s="17">
        <v>45987</v>
      </c>
      <c r="I100" s="35" t="s">
        <v>150</v>
      </c>
      <c r="J100" s="38" t="s">
        <v>54</v>
      </c>
      <c r="K100" s="18">
        <v>22</v>
      </c>
      <c r="L100" s="42">
        <v>2221.5100000000002</v>
      </c>
      <c r="M100" s="42">
        <v>5.94</v>
      </c>
      <c r="N100" s="42">
        <v>2227.5700000000002</v>
      </c>
      <c r="O100" s="20">
        <f t="shared" si="0"/>
        <v>6.0599999999999454</v>
      </c>
      <c r="P100" s="42">
        <v>1</v>
      </c>
    </row>
    <row r="101" spans="1:16" x14ac:dyDescent="0.35">
      <c r="A101" s="50" t="str">
        <f>'[1]Experiment Index'!E$9</f>
        <v>MORE_N.desiccata_Nov2025_Dens3</v>
      </c>
      <c r="B101" s="27" t="s">
        <v>172</v>
      </c>
      <c r="C101" s="17">
        <v>45968</v>
      </c>
      <c r="D101" s="20">
        <v>7.8541666666715173</v>
      </c>
      <c r="E101" s="27" t="s">
        <v>82</v>
      </c>
      <c r="F101" s="1" t="s">
        <v>25</v>
      </c>
      <c r="G101" s="28" t="s">
        <v>78</v>
      </c>
      <c r="H101" s="17">
        <v>45987</v>
      </c>
      <c r="I101" s="35" t="s">
        <v>150</v>
      </c>
      <c r="J101" s="38" t="s">
        <v>55</v>
      </c>
      <c r="K101" s="18">
        <v>23</v>
      </c>
      <c r="L101" s="42">
        <v>2236.61</v>
      </c>
      <c r="M101" s="42">
        <v>5.86</v>
      </c>
      <c r="N101" s="42">
        <v>2242.54</v>
      </c>
      <c r="O101" s="20">
        <f t="shared" si="0"/>
        <v>5.9299999999998363</v>
      </c>
      <c r="P101" s="42">
        <v>1</v>
      </c>
    </row>
    <row r="102" spans="1:16" x14ac:dyDescent="0.35">
      <c r="A102" s="50" t="str">
        <f>'[1]Experiment Index'!E$9</f>
        <v>MORE_N.desiccata_Nov2025_Dens3</v>
      </c>
      <c r="B102" s="27" t="s">
        <v>173</v>
      </c>
      <c r="C102" s="17">
        <v>45968</v>
      </c>
      <c r="D102" s="20">
        <v>7.8541666666715173</v>
      </c>
      <c r="E102" s="27" t="s">
        <v>84</v>
      </c>
      <c r="F102" s="1" t="s">
        <v>25</v>
      </c>
      <c r="G102" s="28" t="s">
        <v>78</v>
      </c>
      <c r="H102" s="17">
        <v>45987</v>
      </c>
      <c r="I102" s="35" t="s">
        <v>150</v>
      </c>
      <c r="J102" s="38" t="s">
        <v>56</v>
      </c>
      <c r="K102" s="18">
        <v>24</v>
      </c>
      <c r="L102" s="42">
        <v>2218.25</v>
      </c>
      <c r="M102" s="42">
        <v>5.82</v>
      </c>
      <c r="N102" s="42">
        <v>2224.11</v>
      </c>
      <c r="O102" s="20">
        <f t="shared" si="0"/>
        <v>5.8600000000001273</v>
      </c>
      <c r="P102" s="42">
        <v>1</v>
      </c>
    </row>
    <row r="103" spans="1:16" x14ac:dyDescent="0.35">
      <c r="A103" s="50" t="str">
        <f>'[1]Experiment Index'!E$9</f>
        <v>MORE_N.desiccata_Nov2025_Dens3</v>
      </c>
      <c r="B103" s="27" t="s">
        <v>174</v>
      </c>
      <c r="C103" s="17">
        <v>45972</v>
      </c>
      <c r="D103" s="20">
        <v>11.854166666671517</v>
      </c>
      <c r="E103" s="27" t="s">
        <v>24</v>
      </c>
      <c r="F103" s="1" t="s">
        <v>25</v>
      </c>
      <c r="G103" s="28" t="s">
        <v>65</v>
      </c>
      <c r="H103" s="17">
        <v>45987</v>
      </c>
      <c r="I103" s="35" t="s">
        <v>150</v>
      </c>
      <c r="J103" s="38" t="s">
        <v>57</v>
      </c>
      <c r="K103" s="18">
        <v>25</v>
      </c>
      <c r="L103" s="42">
        <v>2234.87</v>
      </c>
      <c r="M103" s="42">
        <v>6.99</v>
      </c>
      <c r="N103" s="42">
        <v>2241.96</v>
      </c>
      <c r="O103" s="20">
        <f t="shared" si="0"/>
        <v>7.0900000000001455</v>
      </c>
      <c r="P103" s="42">
        <v>1</v>
      </c>
    </row>
    <row r="104" spans="1:16" x14ac:dyDescent="0.35">
      <c r="A104" s="50" t="str">
        <f>'[1]Experiment Index'!E$9</f>
        <v>MORE_N.desiccata_Nov2025_Dens3</v>
      </c>
      <c r="B104" s="27" t="s">
        <v>175</v>
      </c>
      <c r="C104" s="17">
        <v>45972</v>
      </c>
      <c r="D104" s="20">
        <v>11.854166666671517</v>
      </c>
      <c r="E104" s="27" t="s">
        <v>27</v>
      </c>
      <c r="F104" s="1" t="s">
        <v>25</v>
      </c>
      <c r="G104" s="28" t="s">
        <v>65</v>
      </c>
      <c r="H104" s="17">
        <v>45987</v>
      </c>
      <c r="I104" s="35" t="s">
        <v>150</v>
      </c>
      <c r="J104" s="38" t="s">
        <v>58</v>
      </c>
      <c r="K104" s="18">
        <v>26</v>
      </c>
      <c r="L104" s="42">
        <v>2240.25</v>
      </c>
      <c r="M104" s="42">
        <v>6.15</v>
      </c>
      <c r="N104" s="42">
        <v>2246.4899999999998</v>
      </c>
      <c r="O104" s="20">
        <f t="shared" si="0"/>
        <v>6.2399999999997817</v>
      </c>
      <c r="P104" s="42">
        <v>1</v>
      </c>
    </row>
    <row r="105" spans="1:16" x14ac:dyDescent="0.35">
      <c r="A105" s="50" t="str">
        <f>'[1]Experiment Index'!E$9</f>
        <v>MORE_N.desiccata_Nov2025_Dens3</v>
      </c>
      <c r="B105" s="27" t="s">
        <v>176</v>
      </c>
      <c r="C105" s="17">
        <v>45972</v>
      </c>
      <c r="D105" s="20">
        <v>11.854166666671517</v>
      </c>
      <c r="E105" s="27" t="s">
        <v>29</v>
      </c>
      <c r="F105" s="1" t="s">
        <v>25</v>
      </c>
      <c r="G105" s="28" t="s">
        <v>65</v>
      </c>
      <c r="H105" s="17">
        <v>45987</v>
      </c>
      <c r="I105" s="35" t="s">
        <v>150</v>
      </c>
      <c r="J105" s="38" t="s">
        <v>59</v>
      </c>
      <c r="K105" s="18">
        <v>27</v>
      </c>
      <c r="L105" s="42">
        <v>2224.81</v>
      </c>
      <c r="M105" s="42">
        <v>7.67</v>
      </c>
      <c r="N105" s="42">
        <v>2232.5700000000002</v>
      </c>
      <c r="O105" s="20">
        <f t="shared" si="0"/>
        <v>7.7600000000002183</v>
      </c>
      <c r="P105" s="42">
        <v>1</v>
      </c>
    </row>
    <row r="106" spans="1:16" x14ac:dyDescent="0.35">
      <c r="A106" s="50" t="str">
        <f>'[1]Experiment Index'!E$9</f>
        <v>MORE_N.desiccata_Nov2025_Dens3</v>
      </c>
      <c r="B106" s="27" t="s">
        <v>177</v>
      </c>
      <c r="C106" s="17">
        <v>45972</v>
      </c>
      <c r="D106" s="20">
        <v>11.854166666671517</v>
      </c>
      <c r="E106" s="27" t="s">
        <v>50</v>
      </c>
      <c r="F106" s="1" t="s">
        <v>25</v>
      </c>
      <c r="G106" s="28" t="s">
        <v>65</v>
      </c>
      <c r="H106" s="17">
        <v>45987</v>
      </c>
      <c r="I106" s="35" t="s">
        <v>150</v>
      </c>
      <c r="J106" s="38" t="s">
        <v>60</v>
      </c>
      <c r="K106" s="18">
        <v>28</v>
      </c>
      <c r="L106" s="42">
        <v>2245.63</v>
      </c>
      <c r="M106" s="42">
        <v>8.0500000000000007</v>
      </c>
      <c r="N106" s="42">
        <v>2253.8000000000002</v>
      </c>
      <c r="O106" s="20">
        <f t="shared" si="0"/>
        <v>8.1700000000000728</v>
      </c>
      <c r="P106" s="42">
        <v>1</v>
      </c>
    </row>
    <row r="107" spans="1:16" x14ac:dyDescent="0.35">
      <c r="A107" s="50" t="str">
        <f>'[1]Experiment Index'!E$9</f>
        <v>MORE_N.desiccata_Nov2025_Dens3</v>
      </c>
      <c r="B107" s="27" t="s">
        <v>178</v>
      </c>
      <c r="C107" s="17">
        <v>45972</v>
      </c>
      <c r="D107" s="20">
        <v>11.854166666671517</v>
      </c>
      <c r="E107" s="27" t="s">
        <v>33</v>
      </c>
      <c r="F107" s="1" t="s">
        <v>25</v>
      </c>
      <c r="G107" s="28" t="s">
        <v>66</v>
      </c>
      <c r="H107" s="17">
        <v>45987</v>
      </c>
      <c r="I107" s="35" t="s">
        <v>150</v>
      </c>
      <c r="J107" s="38" t="s">
        <v>61</v>
      </c>
      <c r="K107" s="18">
        <v>29</v>
      </c>
      <c r="L107" s="42">
        <v>2212.85</v>
      </c>
      <c r="M107" s="42">
        <v>5.5</v>
      </c>
      <c r="N107" s="42">
        <v>2218.4499999999998</v>
      </c>
      <c r="O107" s="20">
        <f t="shared" si="0"/>
        <v>5.5999999999999091</v>
      </c>
      <c r="P107" s="42">
        <v>1</v>
      </c>
    </row>
    <row r="108" spans="1:16" x14ac:dyDescent="0.35">
      <c r="A108" s="50" t="str">
        <f>'[1]Experiment Index'!E$9</f>
        <v>MORE_N.desiccata_Nov2025_Dens3</v>
      </c>
      <c r="B108" s="27" t="s">
        <v>179</v>
      </c>
      <c r="C108" s="17">
        <v>45972</v>
      </c>
      <c r="D108" s="20">
        <v>11.854166666671517</v>
      </c>
      <c r="E108" s="27" t="s">
        <v>31</v>
      </c>
      <c r="F108" s="1" t="s">
        <v>25</v>
      </c>
      <c r="G108" s="28" t="s">
        <v>66</v>
      </c>
      <c r="H108" s="17">
        <v>45987</v>
      </c>
      <c r="I108" s="35" t="s">
        <v>150</v>
      </c>
      <c r="J108" s="38" t="s">
        <v>62</v>
      </c>
      <c r="K108" s="18">
        <v>30</v>
      </c>
      <c r="L108" s="42">
        <v>2213.7199999999998</v>
      </c>
      <c r="M108" s="42">
        <v>6.48</v>
      </c>
      <c r="N108" s="42">
        <v>2220.35</v>
      </c>
      <c r="O108" s="20">
        <f t="shared" si="0"/>
        <v>6.6300000000001091</v>
      </c>
      <c r="P108" s="42">
        <v>1</v>
      </c>
    </row>
    <row r="109" spans="1:16" x14ac:dyDescent="0.35">
      <c r="A109" s="50" t="str">
        <f>'[1]Experiment Index'!E$9</f>
        <v>MORE_N.desiccata_Nov2025_Dens3</v>
      </c>
      <c r="B109" s="27" t="s">
        <v>180</v>
      </c>
      <c r="C109" s="17">
        <v>45972</v>
      </c>
      <c r="D109" s="20">
        <v>11.854166666671517</v>
      </c>
      <c r="E109" s="27" t="s">
        <v>48</v>
      </c>
      <c r="F109" s="1" t="s">
        <v>25</v>
      </c>
      <c r="G109" s="28" t="s">
        <v>66</v>
      </c>
      <c r="H109" s="17">
        <v>45987</v>
      </c>
      <c r="I109" s="35" t="s">
        <v>150</v>
      </c>
      <c r="J109" s="38" t="s">
        <v>63</v>
      </c>
      <c r="K109" s="18">
        <v>31</v>
      </c>
      <c r="L109" s="42">
        <v>2213.31</v>
      </c>
      <c r="M109" s="42">
        <v>7.74</v>
      </c>
      <c r="N109" s="42">
        <v>2221.1799999999998</v>
      </c>
      <c r="O109" s="20">
        <f t="shared" si="0"/>
        <v>7.8699999999998909</v>
      </c>
      <c r="P109" s="42">
        <v>1</v>
      </c>
    </row>
    <row r="110" spans="1:16" x14ac:dyDescent="0.35">
      <c r="A110" s="50" t="str">
        <f>'[1]Experiment Index'!E$9</f>
        <v>MORE_N.desiccata_Nov2025_Dens3</v>
      </c>
      <c r="B110" s="27" t="s">
        <v>181</v>
      </c>
      <c r="C110" s="17">
        <v>45972</v>
      </c>
      <c r="D110" s="20">
        <v>11.854166666671517</v>
      </c>
      <c r="E110" s="27" t="s">
        <v>51</v>
      </c>
      <c r="F110" s="1" t="s">
        <v>25</v>
      </c>
      <c r="G110" s="28" t="s">
        <v>66</v>
      </c>
      <c r="H110" s="17">
        <v>45987</v>
      </c>
      <c r="I110" s="35" t="s">
        <v>150</v>
      </c>
      <c r="J110" s="38" t="s">
        <v>64</v>
      </c>
      <c r="K110" s="18">
        <v>32</v>
      </c>
      <c r="L110" s="42">
        <v>2224.35</v>
      </c>
      <c r="M110" s="42">
        <v>8.56</v>
      </c>
      <c r="N110" s="42">
        <v>2233.08</v>
      </c>
      <c r="O110" s="20">
        <f t="shared" si="0"/>
        <v>8.7300000000000182</v>
      </c>
      <c r="P110" s="42">
        <v>1</v>
      </c>
    </row>
    <row r="111" spans="1:16" x14ac:dyDescent="0.35">
      <c r="A111" s="50" t="str">
        <f>'[1]Experiment Index'!E$9</f>
        <v>MORE_N.desiccata_Nov2025_Dens3</v>
      </c>
      <c r="B111" s="27" t="s">
        <v>182</v>
      </c>
      <c r="C111" s="17">
        <v>45972</v>
      </c>
      <c r="D111" s="20">
        <v>11.854166666671517</v>
      </c>
      <c r="E111" s="27" t="s">
        <v>77</v>
      </c>
      <c r="F111" s="1" t="s">
        <v>25</v>
      </c>
      <c r="G111" s="28" t="s">
        <v>78</v>
      </c>
      <c r="H111" s="17">
        <v>45987</v>
      </c>
      <c r="I111" s="35" t="s">
        <v>150</v>
      </c>
      <c r="J111" s="38" t="s">
        <v>106</v>
      </c>
      <c r="K111" s="18">
        <v>33</v>
      </c>
      <c r="L111" s="42">
        <v>2209.08</v>
      </c>
      <c r="M111" s="42">
        <v>6.62</v>
      </c>
      <c r="N111" s="42">
        <v>2215.83</v>
      </c>
      <c r="O111" s="20">
        <f t="shared" si="0"/>
        <v>6.75</v>
      </c>
      <c r="P111" s="42">
        <v>1</v>
      </c>
    </row>
    <row r="112" spans="1:16" x14ac:dyDescent="0.35">
      <c r="A112" s="50" t="str">
        <f>'[1]Experiment Index'!E$9</f>
        <v>MORE_N.desiccata_Nov2025_Dens3</v>
      </c>
      <c r="B112" s="27" t="s">
        <v>183</v>
      </c>
      <c r="C112" s="17">
        <v>45972</v>
      </c>
      <c r="D112" s="20">
        <v>11.854166666671517</v>
      </c>
      <c r="E112" s="27" t="s">
        <v>80</v>
      </c>
      <c r="F112" s="1" t="s">
        <v>25</v>
      </c>
      <c r="G112" s="28" t="s">
        <v>78</v>
      </c>
      <c r="H112" s="17">
        <v>45987</v>
      </c>
      <c r="I112" s="35" t="s">
        <v>150</v>
      </c>
      <c r="J112" s="38" t="s">
        <v>108</v>
      </c>
      <c r="K112" s="18">
        <v>34</v>
      </c>
      <c r="L112" s="42">
        <v>2230.2800000000002</v>
      </c>
      <c r="M112" s="42">
        <v>6.75</v>
      </c>
      <c r="N112" s="42">
        <v>2237.13</v>
      </c>
      <c r="O112" s="20">
        <f t="shared" si="0"/>
        <v>6.8499999999999091</v>
      </c>
      <c r="P112" s="42">
        <v>1</v>
      </c>
    </row>
    <row r="113" spans="1:17" x14ac:dyDescent="0.35">
      <c r="A113" s="50" t="str">
        <f>'[1]Experiment Index'!E$9</f>
        <v>MORE_N.desiccata_Nov2025_Dens3</v>
      </c>
      <c r="B113" s="27" t="s">
        <v>184</v>
      </c>
      <c r="C113" s="17">
        <v>45972</v>
      </c>
      <c r="D113" s="20">
        <v>11.854166666671517</v>
      </c>
      <c r="E113" s="27" t="s">
        <v>82</v>
      </c>
      <c r="F113" s="1" t="s">
        <v>25</v>
      </c>
      <c r="G113" s="28" t="s">
        <v>78</v>
      </c>
      <c r="H113" s="17">
        <v>45987</v>
      </c>
      <c r="I113" s="35" t="s">
        <v>150</v>
      </c>
      <c r="J113" s="38" t="s">
        <v>110</v>
      </c>
      <c r="K113" s="18">
        <v>35</v>
      </c>
      <c r="L113" s="42">
        <v>2221.94</v>
      </c>
      <c r="M113" s="42">
        <v>6.69</v>
      </c>
      <c r="N113" s="42">
        <v>2228.7399999999998</v>
      </c>
      <c r="O113" s="20">
        <f t="shared" si="0"/>
        <v>6.7999999999997272</v>
      </c>
      <c r="P113" s="42">
        <v>1</v>
      </c>
    </row>
    <row r="114" spans="1:17" x14ac:dyDescent="0.35">
      <c r="A114" s="50" t="str">
        <f>'[1]Experiment Index'!E$9</f>
        <v>MORE_N.desiccata_Nov2025_Dens3</v>
      </c>
      <c r="B114" s="27" t="s">
        <v>185</v>
      </c>
      <c r="C114" s="17">
        <v>45972</v>
      </c>
      <c r="D114" s="20">
        <v>11.854166666671517</v>
      </c>
      <c r="E114" s="27" t="s">
        <v>84</v>
      </c>
      <c r="F114" s="1" t="s">
        <v>25</v>
      </c>
      <c r="G114" s="33" t="s">
        <v>78</v>
      </c>
      <c r="H114" s="17">
        <v>45987</v>
      </c>
      <c r="I114" s="35" t="s">
        <v>150</v>
      </c>
      <c r="J114" s="38" t="s">
        <v>112</v>
      </c>
      <c r="K114" s="18">
        <v>36</v>
      </c>
      <c r="L114" s="42">
        <v>2207.9899999999998</v>
      </c>
      <c r="M114" s="42">
        <v>5.37</v>
      </c>
      <c r="N114" s="42">
        <v>2213.5100000000002</v>
      </c>
      <c r="O114" s="20">
        <f t="shared" si="0"/>
        <v>5.5200000000004366</v>
      </c>
      <c r="P114" s="42">
        <v>1</v>
      </c>
    </row>
    <row r="115" spans="1:17" s="23" customFormat="1" x14ac:dyDescent="0.35">
      <c r="A115" s="52" t="str">
        <f>'[1]Experiment Index'!E$9</f>
        <v>MORE_N.desiccata_Nov2025_Dens3</v>
      </c>
      <c r="B115" s="27" t="s">
        <v>18</v>
      </c>
      <c r="C115" s="23" t="s">
        <v>19</v>
      </c>
      <c r="D115" s="19" t="s">
        <v>19</v>
      </c>
      <c r="E115" s="27" t="s">
        <v>19</v>
      </c>
      <c r="F115" s="1" t="s">
        <v>20</v>
      </c>
      <c r="G115" s="28" t="s">
        <v>21</v>
      </c>
      <c r="H115" s="17">
        <v>45987</v>
      </c>
      <c r="I115" s="35" t="s">
        <v>150</v>
      </c>
      <c r="J115" s="35" t="s">
        <v>18</v>
      </c>
      <c r="K115" s="18" t="s">
        <v>18</v>
      </c>
      <c r="L115" s="42">
        <v>2214.7800000000002</v>
      </c>
      <c r="M115" s="42">
        <v>8.58</v>
      </c>
      <c r="N115" s="42">
        <v>2223.0700000000002</v>
      </c>
      <c r="O115" s="20">
        <f t="shared" si="0"/>
        <v>8.2899999999999636</v>
      </c>
      <c r="P115" s="42">
        <v>1</v>
      </c>
      <c r="Q115" s="18"/>
    </row>
    <row r="116" spans="1:17" x14ac:dyDescent="0.35">
      <c r="A116" s="50" t="str">
        <f>'[1]Experiment Index'!E$9</f>
        <v>MORE_N.desiccata_Nov2025_Dens3</v>
      </c>
      <c r="B116" s="28" t="s">
        <v>22</v>
      </c>
      <c r="C116" s="7" t="s">
        <v>19</v>
      </c>
      <c r="D116" s="8" t="s">
        <v>19</v>
      </c>
      <c r="E116" s="27" t="s">
        <v>19</v>
      </c>
      <c r="F116" s="1" t="s">
        <v>20</v>
      </c>
      <c r="G116" s="28" t="s">
        <v>21</v>
      </c>
      <c r="H116" s="17">
        <v>45987</v>
      </c>
      <c r="I116" s="35" t="s">
        <v>150</v>
      </c>
      <c r="J116" s="35" t="s">
        <v>22</v>
      </c>
      <c r="K116" s="18" t="s">
        <v>22</v>
      </c>
      <c r="L116" s="42">
        <v>2211.36</v>
      </c>
      <c r="M116" s="42">
        <v>5.81</v>
      </c>
      <c r="N116" s="42">
        <v>2217</v>
      </c>
      <c r="O116" s="20">
        <f t="shared" si="0"/>
        <v>5.6399999999998727</v>
      </c>
      <c r="P116" s="42">
        <v>1</v>
      </c>
    </row>
    <row r="117" spans="1:17" x14ac:dyDescent="0.35">
      <c r="A117" s="51" t="str">
        <f>'[1]Experiment Index'!E$9</f>
        <v>MORE_N.desiccata_Nov2025_Dens3</v>
      </c>
      <c r="B117" s="29" t="s">
        <v>23</v>
      </c>
      <c r="C117" s="12" t="s">
        <v>19</v>
      </c>
      <c r="D117" s="13" t="s">
        <v>19</v>
      </c>
      <c r="E117" s="32" t="s">
        <v>19</v>
      </c>
      <c r="F117" s="14" t="s">
        <v>20</v>
      </c>
      <c r="G117" s="29" t="s">
        <v>21</v>
      </c>
      <c r="H117" s="21">
        <v>45987</v>
      </c>
      <c r="I117" s="39" t="s">
        <v>150</v>
      </c>
      <c r="J117" s="39" t="s">
        <v>23</v>
      </c>
      <c r="K117" s="24" t="s">
        <v>23</v>
      </c>
      <c r="L117" s="43">
        <v>2232.66</v>
      </c>
      <c r="M117" s="43">
        <v>3.72</v>
      </c>
      <c r="N117" s="43">
        <v>2236.2600000000002</v>
      </c>
      <c r="O117" s="22">
        <f t="shared" si="0"/>
        <v>3.6000000000003638</v>
      </c>
      <c r="P117" s="43">
        <v>1</v>
      </c>
    </row>
  </sheetData>
  <mergeCells count="2">
    <mergeCell ref="A1:J1"/>
    <mergeCell ref="K1:O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FAME 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Ale-Enriquez, Fuad</dc:creator>
  <cp:lastModifiedBy>Ale-Enriquez, Fuad</cp:lastModifiedBy>
  <dcterms:created xsi:type="dcterms:W3CDTF">2026-05-15T20:14:26Z</dcterms:created>
  <dcterms:modified xsi:type="dcterms:W3CDTF">2026-05-15T22:01:58Z</dcterms:modified>
</cp:coreProperties>
</file>